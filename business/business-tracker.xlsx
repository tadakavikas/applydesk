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lients" sheetId="2" state="visible" r:id="rId4"/>
    <sheet name="Payments" sheetId="3" state="visible" r:id="rId5"/>
    <sheet name="Expenses" sheetId="4" state="visible" r:id="rId6"/>
    <sheet name="Team Cost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<sst xmlns="http://schemas.openxmlformats.org/spreadsheetml/2006/main" count="112" uniqueCount="100">
  <si>
    <t xml:space="preserve">APPLYDESK BUSINESS TRACKER</t>
  </si>
  <si>
    <t xml:space="preserve">How to use this workbook</t>
  </si>
  <si>
    <t xml:space="preserve">5 sheets, all linked. You only enter data in the yellow-shaded cells; everything else is calculated.</t>
  </si>
  <si>
    <t xml:space="preserve">1) CLIENTS — one row per client. Enter their info, plan, start date, monthly fee, and status.</t>
  </si>
  <si>
    <t xml:space="preserve">2) PAYMENTS — one row per payment received (money IN).</t>
  </si>
  <si>
    <t xml:space="preserve">3) EXPENSES — one row per business expense (money OUT: tools, salaries, ads, etc.).</t>
  </si>
  <si>
    <t xml:space="preserve">4) TEAM COSTS — recurring payroll for recruiters, managers, and your Workspace/Supabase bills.</t>
  </si>
  <si>
    <t xml:space="preserve">5) DASHBOARD — live summary: total revenue, total costs, profit, per-client profit, cash on hand.</t>
  </si>
  <si>
    <t xml:space="preserve">Cell color legend</t>
  </si>
  <si>
    <t xml:space="preserve">  • Yellow-shaded cells = you fill these in.</t>
  </si>
  <si>
    <t xml:space="preserve">  • Blue text = input value you typed.</t>
  </si>
  <si>
    <t xml:space="preserve">  • Black text = formula result (do not edit).</t>
  </si>
  <si>
    <t xml:space="preserve">  • Ink header row = column labels.</t>
  </si>
  <si>
    <t xml:space="preserve">Tips</t>
  </si>
  <si>
    <t xml:space="preserve">  • Add rows as needed; formulas that use ranges are already set generously to A2:A500.</t>
  </si>
  <si>
    <t xml:space="preserve">  • The DASHBOARD updates automatically as you add clients, payments, and expenses.</t>
  </si>
  <si>
    <t xml:space="preserve">  • For every client dispute later, this workbook + your signed agreement + your Mission Control reports are your evidence trail.</t>
  </si>
  <si>
    <t xml:space="preserve">Keep this file safe. Back it up monthly to Google Drive.</t>
  </si>
  <si>
    <t xml:space="preserve">Client ID</t>
  </si>
  <si>
    <t xml:space="preserve">Full Name</t>
  </si>
  <si>
    <t xml:space="preserve">Email</t>
  </si>
  <si>
    <t xml:space="preserve">Phone</t>
  </si>
  <si>
    <t xml:space="preserve">Plan</t>
  </si>
  <si>
    <t xml:space="preserve">Monthly Fee ($)</t>
  </si>
  <si>
    <t xml:space="preserve">Start Date</t>
  </si>
  <si>
    <t xml:space="preserve">Status</t>
  </si>
  <si>
    <t xml:space="preserve">End Date</t>
  </si>
  <si>
    <t xml:space="preserve">Total Paid ($)</t>
  </si>
  <si>
    <t xml:space="preserve">Total Months Active</t>
  </si>
  <si>
    <t xml:space="preserve">Notes</t>
  </si>
  <si>
    <t xml:space="preserve">C001</t>
  </si>
  <si>
    <t xml:space="preserve">Rahul Sharma</t>
  </si>
  <si>
    <t xml:space="preserve">rahul.sharma@example.com</t>
  </si>
  <si>
    <t xml:space="preserve">+1-555-123-4567</t>
  </si>
  <si>
    <t xml:space="preserve">Job Applications</t>
  </si>
  <si>
    <t xml:space="preserve">Active</t>
  </si>
  <si>
    <t xml:space="preserve">Example row — replace or delete.</t>
  </si>
  <si>
    <t xml:space="preserve">▲ Yellow-shaded cells above are where you enter data. Formulas in cols J &amp; K are pre-filled for 200 rows.</t>
  </si>
  <si>
    <t xml:space="preserve">Date</t>
  </si>
  <si>
    <t xml:space="preserve">Amount ($)</t>
  </si>
  <si>
    <t xml:space="preserve">Method</t>
  </si>
  <si>
    <t xml:space="preserve">For (plan/month)</t>
  </si>
  <si>
    <t xml:space="preserve">Zelle</t>
  </si>
  <si>
    <t xml:space="preserve">Job Applications - Month 1</t>
  </si>
  <si>
    <t xml:space="preserve">First payment</t>
  </si>
  <si>
    <t xml:space="preserve">▲ Every incoming payment goes here. Amount auto-rolls up to Client's Total Paid and to Dashboard.</t>
  </si>
  <si>
    <t xml:space="preserve">Category</t>
  </si>
  <si>
    <t xml:space="preserve">Description</t>
  </si>
  <si>
    <t xml:space="preserve">Paid To</t>
  </si>
  <si>
    <t xml:space="preserve">Domain</t>
  </si>
  <si>
    <t xml:space="preserve">getapplydesk.com (1 yr)</t>
  </si>
  <si>
    <t xml:space="preserve">Namecheap</t>
  </si>
  <si>
    <t xml:space="preserve">Base domain</t>
  </si>
  <si>
    <t xml:space="preserve">Google Workspace hello@ (starting Aug 2)</t>
  </si>
  <si>
    <t xml:space="preserve">Google</t>
  </si>
  <si>
    <t xml:space="preserve">Monthly, billed after trial</t>
  </si>
  <si>
    <t xml:space="preserve">Hosting</t>
  </si>
  <si>
    <t xml:space="preserve">Netlify + Supabase (free tiers)</t>
  </si>
  <si>
    <t xml:space="preserve">-</t>
  </si>
  <si>
    <t xml:space="preserve">$0 until scale</t>
  </si>
  <si>
    <t xml:space="preserve">Software</t>
  </si>
  <si>
    <t xml:space="preserve">Password manager (Bitwarden Family)</t>
  </si>
  <si>
    <t xml:space="preserve">Bitwarden</t>
  </si>
  <si>
    <t xml:space="preserve">For client credential vault</t>
  </si>
  <si>
    <t xml:space="preserve">▲ Categories to use consistently: Domain, Email, Hosting, Software, Ads, Team Salary, Legal, Tools, Other.</t>
  </si>
  <si>
    <t xml:space="preserve">Person</t>
  </si>
  <si>
    <t xml:space="preserve">Role</t>
  </si>
  <si>
    <t xml:space="preserve">Monthly Cost ($)</t>
  </si>
  <si>
    <t xml:space="preserve">Active?</t>
  </si>
  <si>
    <t xml:space="preserve">Sahithi Velugala</t>
  </si>
  <si>
    <t xml:space="preserve">Recruiter</t>
  </si>
  <si>
    <t xml:space="preserve">Yes</t>
  </si>
  <si>
    <t xml:space="preserve">First recruiter</t>
  </si>
  <si>
    <t xml:space="preserve">Google Workspace: sahithi@</t>
  </si>
  <si>
    <t xml:space="preserve">Tool - per user</t>
  </si>
  <si>
    <t xml:space="preserve">Added when Sahithi joined</t>
  </si>
  <si>
    <t xml:space="preserve">▲ Recurring monthly team + tool costs. Dashboard totals only rows where Active? = Yes.</t>
  </si>
  <si>
    <t xml:space="preserve">APPLYDESK LIVE DASHBOARD</t>
  </si>
  <si>
    <t xml:space="preserve">Updated automatically as you enter data. All figures in USD.</t>
  </si>
  <si>
    <t xml:space="preserve">REVENUE</t>
  </si>
  <si>
    <t xml:space="preserve">COSTS</t>
  </si>
  <si>
    <t xml:space="preserve">Total revenue (all time)</t>
  </si>
  <si>
    <t xml:space="preserve">Total expenses (all time)</t>
  </si>
  <si>
    <t xml:space="preserve">Payments this month</t>
  </si>
  <si>
    <t xml:space="preserve">Expenses this month</t>
  </si>
  <si>
    <t xml:space="preserve">Payments last 30 days</t>
  </si>
  <si>
    <t xml:space="preserve">Recurring team costs / month</t>
  </si>
  <si>
    <t xml:space="preserve">Active clients</t>
  </si>
  <si>
    <t xml:space="preserve">Team members active</t>
  </si>
  <si>
    <t xml:space="preserve">Total clients ever</t>
  </si>
  <si>
    <t xml:space="preserve">Effective monthly burn</t>
  </si>
  <si>
    <t xml:space="preserve">PROFITABILITY</t>
  </si>
  <si>
    <t xml:space="preserve">Profit this month (rev - exp)</t>
  </si>
  <si>
    <t xml:space="preserve">Profit last 30 days</t>
  </si>
  <si>
    <t xml:space="preserve">Break-even clients (@$150/mo)</t>
  </si>
  <si>
    <t xml:space="preserve">PER CLIENT (Lifetime)</t>
  </si>
  <si>
    <t xml:space="preserve">Client name</t>
  </si>
  <si>
    <t xml:space="preserve">Months active</t>
  </si>
  <si>
    <t xml:space="preserve">Total paid ($)</t>
  </si>
  <si>
    <t xml:space="preserve">▲ Shows first 20 clients from the Clients sheet. Extend by copying row 38 down.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</si>
</sst>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yyyy\-mm\-dd"/>
    <numFmt numFmtId="167" formatCode="General"/>
    <numFmt numFmtId="168" formatCode="\$#,##0.00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100E"/>
        <bgColor rgb="FF000000"/>
      </patternFill>
    </fill>
    <fill>
      <patternFill patternType="solid">
        <fgColor rgb="FFFFFACD"/>
        <bgColor rgb="FFFFFFFF"/>
      </patternFill>
    </fill>
    <fill>
      <patternFill patternType="solid">
        <fgColor rgb="FFFFD60A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60A"/>
      <rgbColor rgb="FFFF9900"/>
      <rgbColor rgb="FFFF6600"/>
      <rgbColor rgb="FF666666"/>
      <rgbColor rgb="FF969696"/>
      <rgbColor rgb="FF003366"/>
      <rgbColor rgb="FF339966"/>
      <rgbColor rgb="FF1210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</cols>
  <sheetData>
    <row r="2" customFormat="false" ht="22.05" hidden="false" customHeight="false" outlineLevel="0" collapsed="false">
      <c r="B2" s="1" t="s">
        <v>0</v>
      </c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8" customFormat="false" ht="15" hidden="false" customHeight="false" outlineLevel="0" collapsed="false">
      <c r="B8" s="3" t="s">
        <v>3</v>
      </c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4" customFormat="false" ht="15" hidden="false" customHeight="false" outlineLevel="0" collapsed="false">
      <c r="B14" s="3" t="s">
        <v>8</v>
      </c>
    </row>
    <row r="16" customFormat="false" ht="15" hidden="false" customHeight="false" outlineLevel="0" collapsed="false">
      <c r="B16" s="3" t="s">
        <v>9</v>
      </c>
    </row>
    <row r="17" customFormat="false" ht="15" hidden="false" customHeight="false" outlineLevel="0" collapsed="false">
      <c r="B17" s="3" t="s">
        <v>10</v>
      </c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3" t="s">
        <v>12</v>
      </c>
    </row>
    <row r="21" customFormat="false" ht="15" hidden="false" customHeight="false" outlineLevel="0" collapsed="false">
      <c r="B21" s="3" t="s">
        <v>13</v>
      </c>
    </row>
    <row r="23" customFormat="false" ht="15" hidden="false" customHeight="false" outlineLevel="0" collapsed="false">
      <c r="B23" s="3" t="s">
        <v>14</v>
      </c>
    </row>
    <row r="24" customFormat="false" ht="15" hidden="false" customHeight="false" outlineLevel="0" collapsed="false">
      <c r="B24" s="3" t="s">
        <v>15</v>
      </c>
    </row>
    <row r="25" customFormat="false" ht="15" hidden="false" customHeight="false" outlineLevel="0" collapsed="false">
      <c r="B25" s="3" t="s">
        <v>16</v>
      </c>
    </row>
    <row r="27" customFormat="false" ht="15" hidden="false" customHeight="false" outlineLevel="0" collapsed="false">
      <c r="B27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2" min="10" style="0" width="16"/>
  </cols>
  <sheetData>
    <row r="1" customFormat="false" ht="30" hidden="false" customHeight="tru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6" t="n">
        <v>150</v>
      </c>
      <c r="G2" s="7" t="n">
        <v>46223</v>
      </c>
      <c r="H2" s="5" t="s">
        <v>35</v>
      </c>
      <c r="I2" s="7"/>
      <c r="J2" s="8" t="n">
        <f aca="false">SUMIFS(Payments!C:C, Payments!B:B, A2)</f>
        <v>150</v>
      </c>
      <c r="K2" s="9" t="n">
        <f aca="true">IF(H2="Active", DATEDIF(G2, TODAY(), "m")+1, IF(ISBLANK(I2), 0, DATEDIF(G2, I2, "m")+1))</f>
        <v>1</v>
      </c>
      <c r="L2" s="9" t="s">
        <v>36</v>
      </c>
    </row>
    <row r="3" customFormat="false" ht="15" hidden="false" customHeight="false" outlineLevel="0" collapsed="false">
      <c r="F3" s="8"/>
      <c r="G3" s="10"/>
      <c r="I3" s="10"/>
      <c r="J3" s="8" t="str">
        <f aca="false">IF(A3="","",SUMIFS(Payments!C:C, Payments!B:B, A3))</f>
        <v/>
      </c>
      <c r="K3" s="0" t="str">
        <f aca="true">IF(A3="","",IF(H3="Active", DATEDIF(G3, TODAY(), "m")+1, IF(ISBLANK(I3), 0, DATEDIF(G3, I3, "m")+1)))</f>
        <v/>
      </c>
    </row>
    <row r="4" customFormat="false" ht="15" hidden="false" customHeight="false" outlineLevel="0" collapsed="false">
      <c r="F4" s="8"/>
      <c r="G4" s="10"/>
      <c r="I4" s="10"/>
      <c r="J4" s="8" t="str">
        <f aca="false">IF(A4="","",SUMIFS(Payments!C:C, Payments!B:B, A4))</f>
        <v/>
      </c>
      <c r="K4" s="0" t="str">
        <f aca="true">IF(A4="","",IF(H4="Active", DATEDIF(G4, TODAY(), "m")+1, IF(ISBLANK(I4), 0, DATEDIF(G4, I4, "m")+1)))</f>
        <v/>
      </c>
    </row>
    <row r="5" customFormat="false" ht="15" hidden="false" customHeight="false" outlineLevel="0" collapsed="false">
      <c r="F5" s="8"/>
      <c r="G5" s="10"/>
      <c r="I5" s="10"/>
      <c r="J5" s="8" t="str">
        <f aca="false">IF(A5="","",SUMIFS(Payments!C:C, Payments!B:B, A5))</f>
        <v/>
      </c>
      <c r="K5" s="0" t="str">
        <f aca="true">IF(A5="","",IF(H5="Active", DATEDIF(G5, TODAY(), "m")+1, IF(ISBLANK(I5), 0, DATEDIF(G5, I5, "m")+1)))</f>
        <v/>
      </c>
    </row>
    <row r="6" customFormat="false" ht="15" hidden="false" customHeight="false" outlineLevel="0" collapsed="false">
      <c r="F6" s="8"/>
      <c r="G6" s="10"/>
      <c r="I6" s="10"/>
      <c r="J6" s="8" t="str">
        <f aca="false">IF(A6="","",SUMIFS(Payments!C:C, Payments!B:B, A6))</f>
        <v/>
      </c>
      <c r="K6" s="0" t="str">
        <f aca="true">IF(A6="","",IF(H6="Active", DATEDIF(G6, TODAY(), "m")+1, IF(ISBLANK(I6), 0, DATEDIF(G6, I6, "m")+1)))</f>
        <v/>
      </c>
    </row>
    <row r="7" customFormat="false" ht="15" hidden="false" customHeight="false" outlineLevel="0" collapsed="false">
      <c r="F7" s="8"/>
      <c r="G7" s="10"/>
      <c r="I7" s="10"/>
      <c r="J7" s="8" t="str">
        <f aca="false">IF(A7="","",SUMIFS(Payments!C:C, Payments!B:B, A7))</f>
        <v/>
      </c>
      <c r="K7" s="0" t="str">
        <f aca="true">IF(A7="","",IF(H7="Active", DATEDIF(G7, TODAY(), "m")+1, IF(ISBLANK(I7), 0, DATEDIF(G7, I7, "m")+1)))</f>
        <v/>
      </c>
    </row>
    <row r="8" customFormat="false" ht="15" hidden="false" customHeight="false" outlineLevel="0" collapsed="false">
      <c r="F8" s="8"/>
      <c r="G8" s="10"/>
      <c r="I8" s="10"/>
      <c r="J8" s="8" t="str">
        <f aca="false">IF(A8="","",SUMIFS(Payments!C:C, Payments!B:B, A8))</f>
        <v/>
      </c>
      <c r="K8" s="0" t="str">
        <f aca="true">IF(A8="","",IF(H8="Active", DATEDIF(G8, TODAY(), "m")+1, IF(ISBLANK(I8), 0, DATEDIF(G8, I8, "m")+1)))</f>
        <v/>
      </c>
    </row>
    <row r="9" customFormat="false" ht="15" hidden="false" customHeight="false" outlineLevel="0" collapsed="false">
      <c r="F9" s="8"/>
      <c r="G9" s="10"/>
      <c r="I9" s="10"/>
      <c r="J9" s="8" t="str">
        <f aca="false">IF(A9="","",SUMIFS(Payments!C:C, Payments!B:B, A9))</f>
        <v/>
      </c>
      <c r="K9" s="0" t="str">
        <f aca="true">IF(A9="","",IF(H9="Active", DATEDIF(G9, TODAY(), "m")+1, IF(ISBLANK(I9), 0, DATEDIF(G9, I9, "m")+1)))</f>
        <v/>
      </c>
    </row>
    <row r="10" customFormat="false" ht="15" hidden="false" customHeight="false" outlineLevel="0" collapsed="false">
      <c r="F10" s="8"/>
      <c r="G10" s="10"/>
      <c r="I10" s="10"/>
      <c r="J10" s="8" t="str">
        <f aca="false">IF(A10="","",SUMIFS(Payments!C:C, Payments!B:B, A10))</f>
        <v/>
      </c>
      <c r="K10" s="0" t="str">
        <f aca="true">IF(A10="","",IF(H10="Active", DATEDIF(G10, TODAY(), "m")+1, IF(ISBLANK(I10), 0, DATEDIF(G10, I10, "m")+1)))</f>
        <v/>
      </c>
    </row>
    <row r="11" customFormat="false" ht="15" hidden="false" customHeight="false" outlineLevel="0" collapsed="false">
      <c r="F11" s="8"/>
      <c r="G11" s="10"/>
      <c r="I11" s="10"/>
      <c r="J11" s="8" t="str">
        <f aca="false">IF(A11="","",SUMIFS(Payments!C:C, Payments!B:B, A11))</f>
        <v/>
      </c>
      <c r="K11" s="0" t="str">
        <f aca="true">IF(A11="","",IF(H11="Active", DATEDIF(G11, TODAY(), "m")+1, IF(ISBLANK(I11), 0, DATEDIF(G11, I11, "m")+1)))</f>
        <v/>
      </c>
    </row>
    <row r="12" customFormat="false" ht="15" hidden="false" customHeight="false" outlineLevel="0" collapsed="false">
      <c r="F12" s="8"/>
      <c r="G12" s="10"/>
      <c r="I12" s="10"/>
      <c r="J12" s="8" t="str">
        <f aca="false">IF(A12="","",SUMIFS(Payments!C:C, Payments!B:B, A12))</f>
        <v/>
      </c>
      <c r="K12" s="0" t="str">
        <f aca="true">IF(A12="","",IF(H12="Active", DATEDIF(G12, TODAY(), "m")+1, IF(ISBLANK(I12), 0, DATEDIF(G12, I12, "m")+1)))</f>
        <v/>
      </c>
    </row>
    <row r="13" customFormat="false" ht="15" hidden="false" customHeight="false" outlineLevel="0" collapsed="false">
      <c r="F13" s="8"/>
      <c r="G13" s="10"/>
      <c r="I13" s="10"/>
      <c r="J13" s="8" t="str">
        <f aca="false">IF(A13="","",SUMIFS(Payments!C:C, Payments!B:B, A13))</f>
        <v/>
      </c>
      <c r="K13" s="0" t="str">
        <f aca="true">IF(A13="","",IF(H13="Active", DATEDIF(G13, TODAY(), "m")+1, IF(ISBLANK(I13), 0, DATEDIF(G13, I13, "m")+1)))</f>
        <v/>
      </c>
    </row>
    <row r="14" customFormat="false" ht="15" hidden="false" customHeight="false" outlineLevel="0" collapsed="false">
      <c r="F14" s="8"/>
      <c r="G14" s="10"/>
      <c r="I14" s="10"/>
      <c r="J14" s="8" t="str">
        <f aca="false">IF(A14="","",SUMIFS(Payments!C:C, Payments!B:B, A14))</f>
        <v/>
      </c>
      <c r="K14" s="0" t="str">
        <f aca="true">IF(A14="","",IF(H14="Active", DATEDIF(G14, TODAY(), "m")+1, IF(ISBLANK(I14), 0, DATEDIF(G14, I14, "m")+1)))</f>
        <v/>
      </c>
    </row>
    <row r="15" customFormat="false" ht="15" hidden="false" customHeight="false" outlineLevel="0" collapsed="false">
      <c r="F15" s="8"/>
      <c r="G15" s="10"/>
      <c r="I15" s="10"/>
      <c r="J15" s="8" t="str">
        <f aca="false">IF(A15="","",SUMIFS(Payments!C:C, Payments!B:B, A15))</f>
        <v/>
      </c>
      <c r="K15" s="0" t="str">
        <f aca="true">IF(A15="","",IF(H15="Active", DATEDIF(G15, TODAY(), "m")+1, IF(ISBLANK(I15), 0, DATEDIF(G15, I15, "m")+1)))</f>
        <v/>
      </c>
    </row>
    <row r="16" customFormat="false" ht="15" hidden="false" customHeight="false" outlineLevel="0" collapsed="false">
      <c r="F16" s="8"/>
      <c r="G16" s="10"/>
      <c r="I16" s="10"/>
      <c r="J16" s="8" t="str">
        <f aca="false">IF(A16="","",SUMIFS(Payments!C:C, Payments!B:B, A16))</f>
        <v/>
      </c>
      <c r="K16" s="0" t="str">
        <f aca="true">IF(A16="","",IF(H16="Active", DATEDIF(G16, TODAY(), "m")+1, IF(ISBLANK(I16), 0, DATEDIF(G16, I16, "m")+1)))</f>
        <v/>
      </c>
    </row>
    <row r="17" customFormat="false" ht="15" hidden="false" customHeight="false" outlineLevel="0" collapsed="false">
      <c r="F17" s="8"/>
      <c r="G17" s="10"/>
      <c r="I17" s="10"/>
      <c r="J17" s="8" t="str">
        <f aca="false">IF(A17="","",SUMIFS(Payments!C:C, Payments!B:B, A17))</f>
        <v/>
      </c>
      <c r="K17" s="0" t="str">
        <f aca="true">IF(A17="","",IF(H17="Active", DATEDIF(G17, TODAY(), "m")+1, IF(ISBLANK(I17), 0, DATEDIF(G17, I17, "m")+1)))</f>
        <v/>
      </c>
    </row>
    <row r="18" customFormat="false" ht="15" hidden="false" customHeight="false" outlineLevel="0" collapsed="false">
      <c r="F18" s="8"/>
      <c r="G18" s="10"/>
      <c r="I18" s="10"/>
      <c r="J18" s="8" t="str">
        <f aca="false">IF(A18="","",SUMIFS(Payments!C:C, Payments!B:B, A18))</f>
        <v/>
      </c>
      <c r="K18" s="0" t="str">
        <f aca="true">IF(A18="","",IF(H18="Active", DATEDIF(G18, TODAY(), "m")+1, IF(ISBLANK(I18), 0, DATEDIF(G18, I18, "m")+1)))</f>
        <v/>
      </c>
    </row>
    <row r="19" customFormat="false" ht="15" hidden="false" customHeight="false" outlineLevel="0" collapsed="false">
      <c r="F19" s="8"/>
      <c r="G19" s="10"/>
      <c r="I19" s="10"/>
      <c r="J19" s="8" t="str">
        <f aca="false">IF(A19="","",SUMIFS(Payments!C:C, Payments!B:B, A19))</f>
        <v/>
      </c>
      <c r="K19" s="0" t="str">
        <f aca="true">IF(A19="","",IF(H19="Active", DATEDIF(G19, TODAY(), "m")+1, IF(ISBLANK(I19), 0, DATEDIF(G19, I19, "m")+1)))</f>
        <v/>
      </c>
    </row>
    <row r="20" customFormat="false" ht="15" hidden="false" customHeight="false" outlineLevel="0" collapsed="false">
      <c r="F20" s="8"/>
      <c r="G20" s="10"/>
      <c r="I20" s="10"/>
      <c r="J20" s="8" t="str">
        <f aca="false">IF(A20="","",SUMIFS(Payments!C:C, Payments!B:B, A20))</f>
        <v/>
      </c>
      <c r="K20" s="0" t="str">
        <f aca="true">IF(A20="","",IF(H20="Active", DATEDIF(G20, TODAY(), "m")+1, IF(ISBLANK(I20), 0, DATEDIF(G20, I20, "m")+1)))</f>
        <v/>
      </c>
    </row>
    <row r="21" customFormat="false" ht="15" hidden="false" customHeight="false" outlineLevel="0" collapsed="false">
      <c r="F21" s="8"/>
      <c r="G21" s="10"/>
      <c r="I21" s="10"/>
      <c r="J21" s="8" t="str">
        <f aca="false">IF(A21="","",SUMIFS(Payments!C:C, Payments!B:B, A21))</f>
        <v/>
      </c>
      <c r="K21" s="0" t="str">
        <f aca="true">IF(A21="","",IF(H21="Active", DATEDIF(G21, TODAY(), "m")+1, IF(ISBLANK(I21), 0, DATEDIF(G21, I21, "m")+1)))</f>
        <v/>
      </c>
    </row>
    <row r="22" customFormat="false" ht="15" hidden="false" customHeight="false" outlineLevel="0" collapsed="false">
      <c r="F22" s="8"/>
      <c r="G22" s="10"/>
      <c r="I22" s="10"/>
      <c r="J22" s="8" t="str">
        <f aca="false">IF(A22="","",SUMIFS(Payments!C:C, Payments!B:B, A22))</f>
        <v/>
      </c>
      <c r="K22" s="0" t="str">
        <f aca="true">IF(A22="","",IF(H22="Active", DATEDIF(G22, TODAY(), "m")+1, IF(ISBLANK(I22), 0, DATEDIF(G22, I22, "m")+1)))</f>
        <v/>
      </c>
    </row>
    <row r="23" customFormat="false" ht="15" hidden="false" customHeight="false" outlineLevel="0" collapsed="false">
      <c r="F23" s="8"/>
      <c r="G23" s="10"/>
      <c r="I23" s="10"/>
      <c r="J23" s="8" t="str">
        <f aca="false">IF(A23="","",SUMIFS(Payments!C:C, Payments!B:B, A23))</f>
        <v/>
      </c>
      <c r="K23" s="0" t="str">
        <f aca="true">IF(A23="","",IF(H23="Active", DATEDIF(G23, TODAY(), "m")+1, IF(ISBLANK(I23), 0, DATEDIF(G23, I23, "m")+1)))</f>
        <v/>
      </c>
    </row>
    <row r="24" customFormat="false" ht="15" hidden="false" customHeight="false" outlineLevel="0" collapsed="false">
      <c r="F24" s="8"/>
      <c r="G24" s="10"/>
      <c r="I24" s="10"/>
      <c r="J24" s="8" t="str">
        <f aca="false">IF(A24="","",SUMIFS(Payments!C:C, Payments!B:B, A24))</f>
        <v/>
      </c>
      <c r="K24" s="0" t="str">
        <f aca="true">IF(A24="","",IF(H24="Active", DATEDIF(G24, TODAY(), "m")+1, IF(ISBLANK(I24), 0, DATEDIF(G24, I24, "m")+1)))</f>
        <v/>
      </c>
    </row>
    <row r="25" customFormat="false" ht="15" hidden="false" customHeight="false" outlineLevel="0" collapsed="false">
      <c r="F25" s="8"/>
      <c r="G25" s="10"/>
      <c r="I25" s="10"/>
      <c r="J25" s="8" t="str">
        <f aca="false">IF(A25="","",SUMIFS(Payments!C:C, Payments!B:B, A25))</f>
        <v/>
      </c>
      <c r="K25" s="0" t="str">
        <f aca="true">IF(A25="","",IF(H25="Active", DATEDIF(G25, TODAY(), "m")+1, IF(ISBLANK(I25), 0, DATEDIF(G25, I25, "m")+1)))</f>
        <v/>
      </c>
    </row>
    <row r="26" customFormat="false" ht="15" hidden="false" customHeight="false" outlineLevel="0" collapsed="false">
      <c r="F26" s="8"/>
      <c r="G26" s="10"/>
      <c r="I26" s="10"/>
      <c r="J26" s="8" t="str">
        <f aca="false">IF(A26="","",SUMIFS(Payments!C:C, Payments!B:B, A26))</f>
        <v/>
      </c>
      <c r="K26" s="0" t="str">
        <f aca="true">IF(A26="","",IF(H26="Active", DATEDIF(G26, TODAY(), "m")+1, IF(ISBLANK(I26), 0, DATEDIF(G26, I26, "m")+1)))</f>
        <v/>
      </c>
    </row>
    <row r="27" customFormat="false" ht="15" hidden="false" customHeight="false" outlineLevel="0" collapsed="false">
      <c r="F27" s="8"/>
      <c r="G27" s="10"/>
      <c r="I27" s="10"/>
      <c r="J27" s="8" t="str">
        <f aca="false">IF(A27="","",SUMIFS(Payments!C:C, Payments!B:B, A27))</f>
        <v/>
      </c>
      <c r="K27" s="0" t="str">
        <f aca="true">IF(A27="","",IF(H27="Active", DATEDIF(G27, TODAY(), "m")+1, IF(ISBLANK(I27), 0, DATEDIF(G27, I27, "m")+1)))</f>
        <v/>
      </c>
    </row>
    <row r="28" customFormat="false" ht="15" hidden="false" customHeight="false" outlineLevel="0" collapsed="false">
      <c r="F28" s="8"/>
      <c r="G28" s="10"/>
      <c r="I28" s="10"/>
      <c r="J28" s="8" t="str">
        <f aca="false">IF(A28="","",SUMIFS(Payments!C:C, Payments!B:B, A28))</f>
        <v/>
      </c>
      <c r="K28" s="0" t="str">
        <f aca="true">IF(A28="","",IF(H28="Active", DATEDIF(G28, TODAY(), "m")+1, IF(ISBLANK(I28), 0, DATEDIF(G28, I28, "m")+1)))</f>
        <v/>
      </c>
    </row>
    <row r="29" customFormat="false" ht="15" hidden="false" customHeight="false" outlineLevel="0" collapsed="false">
      <c r="F29" s="8"/>
      <c r="G29" s="10"/>
      <c r="I29" s="10"/>
      <c r="J29" s="8" t="str">
        <f aca="false">IF(A29="","",SUMIFS(Payments!C:C, Payments!B:B, A29))</f>
        <v/>
      </c>
      <c r="K29" s="0" t="str">
        <f aca="true">IF(A29="","",IF(H29="Active", DATEDIF(G29, TODAY(), "m")+1, IF(ISBLANK(I29), 0, DATEDIF(G29, I29, "m")+1)))</f>
        <v/>
      </c>
    </row>
    <row r="30" customFormat="false" ht="15" hidden="false" customHeight="false" outlineLevel="0" collapsed="false">
      <c r="F30" s="8"/>
      <c r="G30" s="10"/>
      <c r="I30" s="10"/>
      <c r="J30" s="8" t="str">
        <f aca="false">IF(A30="","",SUMIFS(Payments!C:C, Payments!B:B, A30))</f>
        <v/>
      </c>
      <c r="K30" s="0" t="str">
        <f aca="true">IF(A30="","",IF(H30="Active", DATEDIF(G30, TODAY(), "m")+1, IF(ISBLANK(I30), 0, DATEDIF(G30, I30, "m")+1)))</f>
        <v/>
      </c>
    </row>
    <row r="31" customFormat="false" ht="15" hidden="false" customHeight="false" outlineLevel="0" collapsed="false">
      <c r="F31" s="8"/>
      <c r="G31" s="10"/>
      <c r="I31" s="10"/>
      <c r="J31" s="8" t="str">
        <f aca="false">IF(A31="","",SUMIFS(Payments!C:C, Payments!B:B, A31))</f>
        <v/>
      </c>
      <c r="K31" s="0" t="str">
        <f aca="true">IF(A31="","",IF(H31="Active", DATEDIF(G31, TODAY(), "m")+1, IF(ISBLANK(I31), 0, DATEDIF(G31, I31, "m")+1)))</f>
        <v/>
      </c>
    </row>
    <row r="32" customFormat="false" ht="15" hidden="false" customHeight="false" outlineLevel="0" collapsed="false">
      <c r="F32" s="8"/>
      <c r="G32" s="10"/>
      <c r="I32" s="10"/>
      <c r="J32" s="8" t="str">
        <f aca="false">IF(A32="","",SUMIFS(Payments!C:C, Payments!B:B, A32))</f>
        <v/>
      </c>
      <c r="K32" s="0" t="str">
        <f aca="true">IF(A32="","",IF(H32="Active", DATEDIF(G32, TODAY(), "m")+1, IF(ISBLANK(I32), 0, DATEDIF(G32, I32, "m")+1)))</f>
        <v/>
      </c>
    </row>
    <row r="33" customFormat="false" ht="15" hidden="false" customHeight="false" outlineLevel="0" collapsed="false">
      <c r="F33" s="8"/>
      <c r="G33" s="10"/>
      <c r="I33" s="10"/>
      <c r="J33" s="8" t="str">
        <f aca="false">IF(A33="","",SUMIFS(Payments!C:C, Payments!B:B, A33))</f>
        <v/>
      </c>
      <c r="K33" s="0" t="str">
        <f aca="true">IF(A33="","",IF(H33="Active", DATEDIF(G33, TODAY(), "m")+1, IF(ISBLANK(I33), 0, DATEDIF(G33, I33, "m")+1)))</f>
        <v/>
      </c>
    </row>
    <row r="34" customFormat="false" ht="15" hidden="false" customHeight="false" outlineLevel="0" collapsed="false">
      <c r="F34" s="8"/>
      <c r="G34" s="10"/>
      <c r="I34" s="10"/>
      <c r="J34" s="8" t="str">
        <f aca="false">IF(A34="","",SUMIFS(Payments!C:C, Payments!B:B, A34))</f>
        <v/>
      </c>
      <c r="K34" s="0" t="str">
        <f aca="true">IF(A34="","",IF(H34="Active", DATEDIF(G34, TODAY(), "m")+1, IF(ISBLANK(I34), 0, DATEDIF(G34, I34, "m")+1)))</f>
        <v/>
      </c>
    </row>
    <row r="35" customFormat="false" ht="15" hidden="false" customHeight="false" outlineLevel="0" collapsed="false">
      <c r="F35" s="8"/>
      <c r="G35" s="10"/>
      <c r="I35" s="10"/>
      <c r="J35" s="8" t="str">
        <f aca="false">IF(A35="","",SUMIFS(Payments!C:C, Payments!B:B, A35))</f>
        <v/>
      </c>
      <c r="K35" s="0" t="str">
        <f aca="true">IF(A35="","",IF(H35="Active", DATEDIF(G35, TODAY(), "m")+1, IF(ISBLANK(I35), 0, DATEDIF(G35, I35, "m")+1)))</f>
        <v/>
      </c>
    </row>
    <row r="36" customFormat="false" ht="15" hidden="false" customHeight="false" outlineLevel="0" collapsed="false">
      <c r="F36" s="8"/>
      <c r="G36" s="10"/>
      <c r="I36" s="10"/>
      <c r="J36" s="8" t="str">
        <f aca="false">IF(A36="","",SUMIFS(Payments!C:C, Payments!B:B, A36))</f>
        <v/>
      </c>
      <c r="K36" s="0" t="str">
        <f aca="true">IF(A36="","",IF(H36="Active", DATEDIF(G36, TODAY(), "m")+1, IF(ISBLANK(I36), 0, DATEDIF(G36, I36, "m")+1)))</f>
        <v/>
      </c>
    </row>
    <row r="37" customFormat="false" ht="15" hidden="false" customHeight="false" outlineLevel="0" collapsed="false">
      <c r="F37" s="8"/>
      <c r="G37" s="10"/>
      <c r="I37" s="10"/>
      <c r="J37" s="8" t="str">
        <f aca="false">IF(A37="","",SUMIFS(Payments!C:C, Payments!B:B, A37))</f>
        <v/>
      </c>
      <c r="K37" s="0" t="str">
        <f aca="true">IF(A37="","",IF(H37="Active", DATEDIF(G37, TODAY(), "m")+1, IF(ISBLANK(I37), 0, DATEDIF(G37, I37, "m")+1)))</f>
        <v/>
      </c>
    </row>
    <row r="38" customFormat="false" ht="15" hidden="false" customHeight="false" outlineLevel="0" collapsed="false">
      <c r="F38" s="8"/>
      <c r="G38" s="10"/>
      <c r="I38" s="10"/>
      <c r="J38" s="8" t="str">
        <f aca="false">IF(A38="","",SUMIFS(Payments!C:C, Payments!B:B, A38))</f>
        <v/>
      </c>
      <c r="K38" s="0" t="str">
        <f aca="true">IF(A38="","",IF(H38="Active", DATEDIF(G38, TODAY(), "m")+1, IF(ISBLANK(I38), 0, DATEDIF(G38, I38, "m")+1)))</f>
        <v/>
      </c>
    </row>
    <row r="39" customFormat="false" ht="15" hidden="false" customHeight="false" outlineLevel="0" collapsed="false">
      <c r="F39" s="8"/>
      <c r="G39" s="10"/>
      <c r="I39" s="10"/>
      <c r="J39" s="8" t="str">
        <f aca="false">IF(A39="","",SUMIFS(Payments!C:C, Payments!B:B, A39))</f>
        <v/>
      </c>
      <c r="K39" s="0" t="str">
        <f aca="true">IF(A39="","",IF(H39="Active", DATEDIF(G39, TODAY(), "m")+1, IF(ISBLANK(I39), 0, DATEDIF(G39, I39, "m")+1)))</f>
        <v/>
      </c>
    </row>
    <row r="40" customFormat="false" ht="15" hidden="false" customHeight="false" outlineLevel="0" collapsed="false">
      <c r="F40" s="8"/>
      <c r="G40" s="10"/>
      <c r="I40" s="10"/>
      <c r="J40" s="8" t="str">
        <f aca="false">IF(A40="","",SUMIFS(Payments!C:C, Payments!B:B, A40))</f>
        <v/>
      </c>
      <c r="K40" s="0" t="str">
        <f aca="true">IF(A40="","",IF(H40="Active", DATEDIF(G40, TODAY(), "m")+1, IF(ISBLANK(I40), 0, DATEDIF(G40, I40, "m")+1)))</f>
        <v/>
      </c>
    </row>
    <row r="41" customFormat="false" ht="15" hidden="false" customHeight="false" outlineLevel="0" collapsed="false">
      <c r="F41" s="8"/>
      <c r="G41" s="10"/>
      <c r="I41" s="10"/>
      <c r="J41" s="8" t="str">
        <f aca="false">IF(A41="","",SUMIFS(Payments!C:C, Payments!B:B, A41))</f>
        <v/>
      </c>
      <c r="K41" s="0" t="str">
        <f aca="true">IF(A41="","",IF(H41="Active", DATEDIF(G41, TODAY(), "m")+1, IF(ISBLANK(I41), 0, DATEDIF(G41, I41, "m")+1)))</f>
        <v/>
      </c>
    </row>
    <row r="42" customFormat="false" ht="15" hidden="false" customHeight="false" outlineLevel="0" collapsed="false">
      <c r="F42" s="8"/>
      <c r="G42" s="10"/>
      <c r="I42" s="10"/>
      <c r="J42" s="8" t="str">
        <f aca="false">IF(A42="","",SUMIFS(Payments!C:C, Payments!B:B, A42))</f>
        <v/>
      </c>
      <c r="K42" s="0" t="str">
        <f aca="true">IF(A42="","",IF(H42="Active", DATEDIF(G42, TODAY(), "m")+1, IF(ISBLANK(I42), 0, DATEDIF(G42, I42, "m")+1)))</f>
        <v/>
      </c>
    </row>
    <row r="43" customFormat="false" ht="15" hidden="false" customHeight="false" outlineLevel="0" collapsed="false">
      <c r="F43" s="8"/>
      <c r="G43" s="10"/>
      <c r="I43" s="10"/>
      <c r="J43" s="8" t="str">
        <f aca="false">IF(A43="","",SUMIFS(Payments!C:C, Payments!B:B, A43))</f>
        <v/>
      </c>
      <c r="K43" s="0" t="str">
        <f aca="true">IF(A43="","",IF(H43="Active", DATEDIF(G43, TODAY(), "m")+1, IF(ISBLANK(I43), 0, DATEDIF(G43, I43, "m")+1)))</f>
        <v/>
      </c>
    </row>
    <row r="44" customFormat="false" ht="15" hidden="false" customHeight="false" outlineLevel="0" collapsed="false">
      <c r="F44" s="8"/>
      <c r="G44" s="10"/>
      <c r="I44" s="10"/>
      <c r="J44" s="8" t="str">
        <f aca="false">IF(A44="","",SUMIFS(Payments!C:C, Payments!B:B, A44))</f>
        <v/>
      </c>
      <c r="K44" s="0" t="str">
        <f aca="true">IF(A44="","",IF(H44="Active", DATEDIF(G44, TODAY(), "m")+1, IF(ISBLANK(I44), 0, DATEDIF(G44, I44, "m")+1)))</f>
        <v/>
      </c>
    </row>
    <row r="45" customFormat="false" ht="15" hidden="false" customHeight="false" outlineLevel="0" collapsed="false">
      <c r="F45" s="8"/>
      <c r="G45" s="10"/>
      <c r="I45" s="10"/>
      <c r="J45" s="8" t="str">
        <f aca="false">IF(A45="","",SUMIFS(Payments!C:C, Payments!B:B, A45))</f>
        <v/>
      </c>
      <c r="K45" s="0" t="str">
        <f aca="true">IF(A45="","",IF(H45="Active", DATEDIF(G45, TODAY(), "m")+1, IF(ISBLANK(I45), 0, DATEDIF(G45, I45, "m")+1)))</f>
        <v/>
      </c>
    </row>
    <row r="46" customFormat="false" ht="15" hidden="false" customHeight="false" outlineLevel="0" collapsed="false">
      <c r="F46" s="8"/>
      <c r="G46" s="10"/>
      <c r="I46" s="10"/>
      <c r="J46" s="8" t="str">
        <f aca="false">IF(A46="","",SUMIFS(Payments!C:C, Payments!B:B, A46))</f>
        <v/>
      </c>
      <c r="K46" s="0" t="str">
        <f aca="true">IF(A46="","",IF(H46="Active", DATEDIF(G46, TODAY(), "m")+1, IF(ISBLANK(I46), 0, DATEDIF(G46, I46, "m")+1)))</f>
        <v/>
      </c>
    </row>
    <row r="47" customFormat="false" ht="15" hidden="false" customHeight="false" outlineLevel="0" collapsed="false">
      <c r="F47" s="8"/>
      <c r="G47" s="10"/>
      <c r="I47" s="10"/>
      <c r="J47" s="8" t="str">
        <f aca="false">IF(A47="","",SUMIFS(Payments!C:C, Payments!B:B, A47))</f>
        <v/>
      </c>
      <c r="K47" s="0" t="str">
        <f aca="true">IF(A47="","",IF(H47="Active", DATEDIF(G47, TODAY(), "m")+1, IF(ISBLANK(I47), 0, DATEDIF(G47, I47, "m")+1)))</f>
        <v/>
      </c>
    </row>
    <row r="48" customFormat="false" ht="15" hidden="false" customHeight="false" outlineLevel="0" collapsed="false">
      <c r="F48" s="8"/>
      <c r="G48" s="10"/>
      <c r="I48" s="10"/>
      <c r="J48" s="8" t="str">
        <f aca="false">IF(A48="","",SUMIFS(Payments!C:C, Payments!B:B, A48))</f>
        <v/>
      </c>
      <c r="K48" s="0" t="str">
        <f aca="true">IF(A48="","",IF(H48="Active", DATEDIF(G48, TODAY(), "m")+1, IF(ISBLANK(I48), 0, DATEDIF(G48, I48, "m")+1)))</f>
        <v/>
      </c>
    </row>
    <row r="49" customFormat="false" ht="15" hidden="false" customHeight="false" outlineLevel="0" collapsed="false">
      <c r="F49" s="8"/>
      <c r="G49" s="10"/>
      <c r="I49" s="10"/>
      <c r="J49" s="8" t="str">
        <f aca="false">IF(A49="","",SUMIFS(Payments!C:C, Payments!B:B, A49))</f>
        <v/>
      </c>
      <c r="K49" s="0" t="str">
        <f aca="true">IF(A49="","",IF(H49="Active", DATEDIF(G49, TODAY(), "m")+1, IF(ISBLANK(I49), 0, DATEDIF(G49, I49, "m")+1)))</f>
        <v/>
      </c>
    </row>
    <row r="50" customFormat="false" ht="15" hidden="false" customHeight="false" outlineLevel="0" collapsed="false">
      <c r="F50" s="8"/>
      <c r="G50" s="10"/>
      <c r="I50" s="10"/>
      <c r="J50" s="8" t="str">
        <f aca="false">IF(A50="","",SUMIFS(Payments!C:C, Payments!B:B, A50))</f>
        <v/>
      </c>
      <c r="K50" s="0" t="str">
        <f aca="true">IF(A50="","",IF(H50="Active", DATEDIF(G50, TODAY(), "m")+1, IF(ISBLANK(I50), 0, DATEDIF(G50, I50, "m")+1)))</f>
        <v/>
      </c>
    </row>
    <row r="51" customFormat="false" ht="15" hidden="false" customHeight="false" outlineLevel="0" collapsed="false">
      <c r="F51" s="8"/>
      <c r="G51" s="10"/>
      <c r="I51" s="10"/>
      <c r="J51" s="8" t="str">
        <f aca="false">IF(A51="","",SUMIFS(Payments!C:C, Payments!B:B, A51))</f>
        <v/>
      </c>
      <c r="K51" s="0" t="str">
        <f aca="true">IF(A51="","",IF(H51="Active", DATEDIF(G51, TODAY(), "m")+1, IF(ISBLANK(I51), 0, DATEDIF(G51, I51, "m")+1)))</f>
        <v/>
      </c>
    </row>
    <row r="52" customFormat="false" ht="15" hidden="false" customHeight="false" outlineLevel="0" collapsed="false">
      <c r="F52" s="8"/>
      <c r="G52" s="10"/>
      <c r="I52" s="10"/>
      <c r="J52" s="8" t="str">
        <f aca="false">IF(A52="","",SUMIFS(Payments!C:C, Payments!B:B, A52))</f>
        <v/>
      </c>
      <c r="K52" s="0" t="str">
        <f aca="true">IF(A52="","",IF(H52="Active", DATEDIF(G52, TODAY(), "m")+1, IF(ISBLANK(I52), 0, DATEDIF(G52, I52, "m")+1)))</f>
        <v/>
      </c>
    </row>
    <row r="53" customFormat="false" ht="15" hidden="false" customHeight="false" outlineLevel="0" collapsed="false">
      <c r="F53" s="8"/>
      <c r="G53" s="10"/>
      <c r="I53" s="10"/>
      <c r="J53" s="8" t="str">
        <f aca="false">IF(A53="","",SUMIFS(Payments!C:C, Payments!B:B, A53))</f>
        <v/>
      </c>
      <c r="K53" s="0" t="str">
        <f aca="true">IF(A53="","",IF(H53="Active", DATEDIF(G53, TODAY(), "m")+1, IF(ISBLANK(I53), 0, DATEDIF(G53, I53, "m")+1)))</f>
        <v/>
      </c>
    </row>
    <row r="54" customFormat="false" ht="15" hidden="false" customHeight="false" outlineLevel="0" collapsed="false">
      <c r="F54" s="8"/>
      <c r="G54" s="10"/>
      <c r="I54" s="10"/>
      <c r="J54" s="8" t="str">
        <f aca="false">IF(A54="","",SUMIFS(Payments!C:C, Payments!B:B, A54))</f>
        <v/>
      </c>
      <c r="K54" s="0" t="str">
        <f aca="true">IF(A54="","",IF(H54="Active", DATEDIF(G54, TODAY(), "m")+1, IF(ISBLANK(I54), 0, DATEDIF(G54, I54, "m")+1)))</f>
        <v/>
      </c>
    </row>
    <row r="55" customFormat="false" ht="15" hidden="false" customHeight="false" outlineLevel="0" collapsed="false">
      <c r="F55" s="8"/>
      <c r="G55" s="10"/>
      <c r="I55" s="10"/>
      <c r="J55" s="8" t="str">
        <f aca="false">IF(A55="","",SUMIFS(Payments!C:C, Payments!B:B, A55))</f>
        <v/>
      </c>
      <c r="K55" s="0" t="str">
        <f aca="true">IF(A55="","",IF(H55="Active", DATEDIF(G55, TODAY(), "m")+1, IF(ISBLANK(I55), 0, DATEDIF(G55, I55, "m")+1)))</f>
        <v/>
      </c>
    </row>
    <row r="56" customFormat="false" ht="15" hidden="false" customHeight="false" outlineLevel="0" collapsed="false">
      <c r="F56" s="8"/>
      <c r="G56" s="10"/>
      <c r="I56" s="10"/>
      <c r="J56" s="8" t="str">
        <f aca="false">IF(A56="","",SUMIFS(Payments!C:C, Payments!B:B, A56))</f>
        <v/>
      </c>
      <c r="K56" s="0" t="str">
        <f aca="true">IF(A56="","",IF(H56="Active", DATEDIF(G56, TODAY(), "m")+1, IF(ISBLANK(I56), 0, DATEDIF(G56, I56, "m")+1)))</f>
        <v/>
      </c>
    </row>
    <row r="57" customFormat="false" ht="15" hidden="false" customHeight="false" outlineLevel="0" collapsed="false">
      <c r="F57" s="8"/>
      <c r="G57" s="10"/>
      <c r="I57" s="10"/>
      <c r="J57" s="8" t="str">
        <f aca="false">IF(A57="","",SUMIFS(Payments!C:C, Payments!B:B, A57))</f>
        <v/>
      </c>
      <c r="K57" s="0" t="str">
        <f aca="true">IF(A57="","",IF(H57="Active", DATEDIF(G57, TODAY(), "m")+1, IF(ISBLANK(I57), 0, DATEDIF(G57, I57, "m")+1)))</f>
        <v/>
      </c>
    </row>
    <row r="58" customFormat="false" ht="15" hidden="false" customHeight="false" outlineLevel="0" collapsed="false">
      <c r="F58" s="8"/>
      <c r="G58" s="10"/>
      <c r="I58" s="10"/>
      <c r="J58" s="8" t="str">
        <f aca="false">IF(A58="","",SUMIFS(Payments!C:C, Payments!B:B, A58))</f>
        <v/>
      </c>
      <c r="K58" s="0" t="str">
        <f aca="true">IF(A58="","",IF(H58="Active", DATEDIF(G58, TODAY(), "m")+1, IF(ISBLANK(I58), 0, DATEDIF(G58, I58, "m")+1)))</f>
        <v/>
      </c>
    </row>
    <row r="59" customFormat="false" ht="15" hidden="false" customHeight="false" outlineLevel="0" collapsed="false">
      <c r="F59" s="8"/>
      <c r="G59" s="10"/>
      <c r="I59" s="10"/>
      <c r="J59" s="8" t="str">
        <f aca="false">IF(A59="","",SUMIFS(Payments!C:C, Payments!B:B, A59))</f>
        <v/>
      </c>
      <c r="K59" s="0" t="str">
        <f aca="true">IF(A59="","",IF(H59="Active", DATEDIF(G59, TODAY(), "m")+1, IF(ISBLANK(I59), 0, DATEDIF(G59, I59, "m")+1)))</f>
        <v/>
      </c>
    </row>
    <row r="60" customFormat="false" ht="15" hidden="false" customHeight="false" outlineLevel="0" collapsed="false">
      <c r="F60" s="8"/>
      <c r="G60" s="10"/>
      <c r="I60" s="10"/>
      <c r="J60" s="8" t="str">
        <f aca="false">IF(A60="","",SUMIFS(Payments!C:C, Payments!B:B, A60))</f>
        <v/>
      </c>
      <c r="K60" s="0" t="str">
        <f aca="true">IF(A60="","",IF(H60="Active", DATEDIF(G60, TODAY(), "m")+1, IF(ISBLANK(I60), 0, DATEDIF(G60, I60, "m")+1)))</f>
        <v/>
      </c>
    </row>
    <row r="61" customFormat="false" ht="15" hidden="false" customHeight="false" outlineLevel="0" collapsed="false">
      <c r="F61" s="8"/>
      <c r="G61" s="10"/>
      <c r="I61" s="10"/>
      <c r="J61" s="8" t="str">
        <f aca="false">IF(A61="","",SUMIFS(Payments!C:C, Payments!B:B, A61))</f>
        <v/>
      </c>
      <c r="K61" s="0" t="str">
        <f aca="true">IF(A61="","",IF(H61="Active", DATEDIF(G61, TODAY(), "m")+1, IF(ISBLANK(I61), 0, DATEDIF(G61, I61, "m")+1)))</f>
        <v/>
      </c>
    </row>
    <row r="62" customFormat="false" ht="15" hidden="false" customHeight="false" outlineLevel="0" collapsed="false">
      <c r="F62" s="8"/>
      <c r="G62" s="10"/>
      <c r="I62" s="10"/>
      <c r="J62" s="8" t="str">
        <f aca="false">IF(A62="","",SUMIFS(Payments!C:C, Payments!B:B, A62))</f>
        <v/>
      </c>
      <c r="K62" s="0" t="str">
        <f aca="true">IF(A62="","",IF(H62="Active", DATEDIF(G62, TODAY(), "m")+1, IF(ISBLANK(I62), 0, DATEDIF(G62, I62, "m")+1)))</f>
        <v/>
      </c>
    </row>
    <row r="63" customFormat="false" ht="15" hidden="false" customHeight="false" outlineLevel="0" collapsed="false">
      <c r="F63" s="8"/>
      <c r="G63" s="10"/>
      <c r="I63" s="10"/>
      <c r="J63" s="8" t="str">
        <f aca="false">IF(A63="","",SUMIFS(Payments!C:C, Payments!B:B, A63))</f>
        <v/>
      </c>
      <c r="K63" s="0" t="str">
        <f aca="true">IF(A63="","",IF(H63="Active", DATEDIF(G63, TODAY(), "m")+1, IF(ISBLANK(I63), 0, DATEDIF(G63, I63, "m")+1)))</f>
        <v/>
      </c>
    </row>
    <row r="64" customFormat="false" ht="15" hidden="false" customHeight="false" outlineLevel="0" collapsed="false">
      <c r="F64" s="8"/>
      <c r="G64" s="10"/>
      <c r="I64" s="10"/>
      <c r="J64" s="8" t="str">
        <f aca="false">IF(A64="","",SUMIFS(Payments!C:C, Payments!B:B, A64))</f>
        <v/>
      </c>
      <c r="K64" s="0" t="str">
        <f aca="true">IF(A64="","",IF(H64="Active", DATEDIF(G64, TODAY(), "m")+1, IF(ISBLANK(I64), 0, DATEDIF(G64, I64, "m")+1)))</f>
        <v/>
      </c>
    </row>
    <row r="65" customFormat="false" ht="15" hidden="false" customHeight="false" outlineLevel="0" collapsed="false">
      <c r="F65" s="8"/>
      <c r="G65" s="10"/>
      <c r="I65" s="10"/>
      <c r="J65" s="8" t="str">
        <f aca="false">IF(A65="","",SUMIFS(Payments!C:C, Payments!B:B, A65))</f>
        <v/>
      </c>
      <c r="K65" s="0" t="str">
        <f aca="true">IF(A65="","",IF(H65="Active", DATEDIF(G65, TODAY(), "m")+1, IF(ISBLANK(I65), 0, DATEDIF(G65, I65, "m")+1)))</f>
        <v/>
      </c>
    </row>
    <row r="66" customFormat="false" ht="15" hidden="false" customHeight="false" outlineLevel="0" collapsed="false">
      <c r="F66" s="8"/>
      <c r="G66" s="10"/>
      <c r="I66" s="10"/>
      <c r="J66" s="8" t="str">
        <f aca="false">IF(A66="","",SUMIFS(Payments!C:C, Payments!B:B, A66))</f>
        <v/>
      </c>
      <c r="K66" s="0" t="str">
        <f aca="true">IF(A66="","",IF(H66="Active", DATEDIF(G66, TODAY(), "m")+1, IF(ISBLANK(I66), 0, DATEDIF(G66, I66, "m")+1)))</f>
        <v/>
      </c>
    </row>
    <row r="67" customFormat="false" ht="15" hidden="false" customHeight="false" outlineLevel="0" collapsed="false">
      <c r="F67" s="8"/>
      <c r="G67" s="10"/>
      <c r="I67" s="10"/>
      <c r="J67" s="8" t="str">
        <f aca="false">IF(A67="","",SUMIFS(Payments!C:C, Payments!B:B, A67))</f>
        <v/>
      </c>
      <c r="K67" s="0" t="str">
        <f aca="true">IF(A67="","",IF(H67="Active", DATEDIF(G67, TODAY(), "m")+1, IF(ISBLANK(I67), 0, DATEDIF(G67, I67, "m")+1)))</f>
        <v/>
      </c>
    </row>
    <row r="68" customFormat="false" ht="15" hidden="false" customHeight="false" outlineLevel="0" collapsed="false">
      <c r="F68" s="8"/>
      <c r="G68" s="10"/>
      <c r="I68" s="10"/>
      <c r="J68" s="8" t="str">
        <f aca="false">IF(A68="","",SUMIFS(Payments!C:C, Payments!B:B, A68))</f>
        <v/>
      </c>
      <c r="K68" s="0" t="str">
        <f aca="true">IF(A68="","",IF(H68="Active", DATEDIF(G68, TODAY(), "m")+1, IF(ISBLANK(I68), 0, DATEDIF(G68, I68, "m")+1)))</f>
        <v/>
      </c>
    </row>
    <row r="69" customFormat="false" ht="15" hidden="false" customHeight="false" outlineLevel="0" collapsed="false">
      <c r="F69" s="8"/>
      <c r="G69" s="10"/>
      <c r="I69" s="10"/>
      <c r="J69" s="8" t="str">
        <f aca="false">IF(A69="","",SUMIFS(Payments!C:C, Payments!B:B, A69))</f>
        <v/>
      </c>
      <c r="K69" s="0" t="str">
        <f aca="true">IF(A69="","",IF(H69="Active", DATEDIF(G69, TODAY(), "m")+1, IF(ISBLANK(I69), 0, DATEDIF(G69, I69, "m")+1)))</f>
        <v/>
      </c>
    </row>
    <row r="70" customFormat="false" ht="15" hidden="false" customHeight="false" outlineLevel="0" collapsed="false">
      <c r="F70" s="8"/>
      <c r="G70" s="10"/>
      <c r="I70" s="10"/>
      <c r="J70" s="8" t="str">
        <f aca="false">IF(A70="","",SUMIFS(Payments!C:C, Payments!B:B, A70))</f>
        <v/>
      </c>
      <c r="K70" s="0" t="str">
        <f aca="true">IF(A70="","",IF(H70="Active", DATEDIF(G70, TODAY(), "m")+1, IF(ISBLANK(I70), 0, DATEDIF(G70, I70, "m")+1)))</f>
        <v/>
      </c>
    </row>
    <row r="71" customFormat="false" ht="15" hidden="false" customHeight="false" outlineLevel="0" collapsed="false">
      <c r="F71" s="8"/>
      <c r="G71" s="10"/>
      <c r="I71" s="10"/>
      <c r="J71" s="8" t="str">
        <f aca="false">IF(A71="","",SUMIFS(Payments!C:C, Payments!B:B, A71))</f>
        <v/>
      </c>
      <c r="K71" s="0" t="str">
        <f aca="true">IF(A71="","",IF(H71="Active", DATEDIF(G71, TODAY(), "m")+1, IF(ISBLANK(I71), 0, DATEDIF(G71, I71, "m")+1)))</f>
        <v/>
      </c>
    </row>
    <row r="72" customFormat="false" ht="15" hidden="false" customHeight="false" outlineLevel="0" collapsed="false">
      <c r="F72" s="8"/>
      <c r="G72" s="10"/>
      <c r="I72" s="10"/>
      <c r="J72" s="8" t="str">
        <f aca="false">IF(A72="","",SUMIFS(Payments!C:C, Payments!B:B, A72))</f>
        <v/>
      </c>
      <c r="K72" s="0" t="str">
        <f aca="true">IF(A72="","",IF(H72="Active", DATEDIF(G72, TODAY(), "m")+1, IF(ISBLANK(I72), 0, DATEDIF(G72, I72, "m")+1)))</f>
        <v/>
      </c>
    </row>
    <row r="73" customFormat="false" ht="15" hidden="false" customHeight="false" outlineLevel="0" collapsed="false">
      <c r="F73" s="8"/>
      <c r="G73" s="10"/>
      <c r="I73" s="10"/>
      <c r="J73" s="8" t="str">
        <f aca="false">IF(A73="","",SUMIFS(Payments!C:C, Payments!B:B, A73))</f>
        <v/>
      </c>
      <c r="K73" s="0" t="str">
        <f aca="true">IF(A73="","",IF(H73="Active", DATEDIF(G73, TODAY(), "m")+1, IF(ISBLANK(I73), 0, DATEDIF(G73, I73, "m")+1)))</f>
        <v/>
      </c>
    </row>
    <row r="74" customFormat="false" ht="15" hidden="false" customHeight="false" outlineLevel="0" collapsed="false">
      <c r="F74" s="8"/>
      <c r="G74" s="10"/>
      <c r="I74" s="10"/>
      <c r="J74" s="8" t="str">
        <f aca="false">IF(A74="","",SUMIFS(Payments!C:C, Payments!B:B, A74))</f>
        <v/>
      </c>
      <c r="K74" s="0" t="str">
        <f aca="true">IF(A74="","",IF(H74="Active", DATEDIF(G74, TODAY(), "m")+1, IF(ISBLANK(I74), 0, DATEDIF(G74, I74, "m")+1)))</f>
        <v/>
      </c>
    </row>
    <row r="75" customFormat="false" ht="15" hidden="false" customHeight="false" outlineLevel="0" collapsed="false">
      <c r="F75" s="8"/>
      <c r="G75" s="10"/>
      <c r="I75" s="10"/>
      <c r="J75" s="8" t="str">
        <f aca="false">IF(A75="","",SUMIFS(Payments!C:C, Payments!B:B, A75))</f>
        <v/>
      </c>
      <c r="K75" s="0" t="str">
        <f aca="true">IF(A75="","",IF(H75="Active", DATEDIF(G75, TODAY(), "m")+1, IF(ISBLANK(I75), 0, DATEDIF(G75, I75, "m")+1)))</f>
        <v/>
      </c>
    </row>
    <row r="76" customFormat="false" ht="15" hidden="false" customHeight="false" outlineLevel="0" collapsed="false">
      <c r="F76" s="8"/>
      <c r="G76" s="10"/>
      <c r="I76" s="10"/>
      <c r="J76" s="8" t="str">
        <f aca="false">IF(A76="","",SUMIFS(Payments!C:C, Payments!B:B, A76))</f>
        <v/>
      </c>
      <c r="K76" s="0" t="str">
        <f aca="true">IF(A76="","",IF(H76="Active", DATEDIF(G76, TODAY(), "m")+1, IF(ISBLANK(I76), 0, DATEDIF(G76, I76, "m")+1)))</f>
        <v/>
      </c>
    </row>
    <row r="77" customFormat="false" ht="15" hidden="false" customHeight="false" outlineLevel="0" collapsed="false">
      <c r="F77" s="8"/>
      <c r="G77" s="10"/>
      <c r="I77" s="10"/>
      <c r="J77" s="8" t="str">
        <f aca="false">IF(A77="","",SUMIFS(Payments!C:C, Payments!B:B, A77))</f>
        <v/>
      </c>
      <c r="K77" s="0" t="str">
        <f aca="true">IF(A77="","",IF(H77="Active", DATEDIF(G77, TODAY(), "m")+1, IF(ISBLANK(I77), 0, DATEDIF(G77, I77, "m")+1)))</f>
        <v/>
      </c>
    </row>
    <row r="78" customFormat="false" ht="15" hidden="false" customHeight="false" outlineLevel="0" collapsed="false">
      <c r="F78" s="8"/>
      <c r="G78" s="10"/>
      <c r="I78" s="10"/>
      <c r="J78" s="8" t="str">
        <f aca="false">IF(A78="","",SUMIFS(Payments!C:C, Payments!B:B, A78))</f>
        <v/>
      </c>
      <c r="K78" s="0" t="str">
        <f aca="true">IF(A78="","",IF(H78="Active", DATEDIF(G78, TODAY(), "m")+1, IF(ISBLANK(I78), 0, DATEDIF(G78, I78, "m")+1)))</f>
        <v/>
      </c>
    </row>
    <row r="79" customFormat="false" ht="15" hidden="false" customHeight="false" outlineLevel="0" collapsed="false">
      <c r="F79" s="8"/>
      <c r="G79" s="10"/>
      <c r="I79" s="10"/>
      <c r="J79" s="8" t="str">
        <f aca="false">IF(A79="","",SUMIFS(Payments!C:C, Payments!B:B, A79))</f>
        <v/>
      </c>
      <c r="K79" s="0" t="str">
        <f aca="true">IF(A79="","",IF(H79="Active", DATEDIF(G79, TODAY(), "m")+1, IF(ISBLANK(I79), 0, DATEDIF(G79, I79, "m")+1)))</f>
        <v/>
      </c>
    </row>
    <row r="80" customFormat="false" ht="15" hidden="false" customHeight="false" outlineLevel="0" collapsed="false">
      <c r="F80" s="8"/>
      <c r="G80" s="10"/>
      <c r="I80" s="10"/>
      <c r="J80" s="8" t="str">
        <f aca="false">IF(A80="","",SUMIFS(Payments!C:C, Payments!B:B, A80))</f>
        <v/>
      </c>
      <c r="K80" s="0" t="str">
        <f aca="true">IF(A80="","",IF(H80="Active", DATEDIF(G80, TODAY(), "m")+1, IF(ISBLANK(I80), 0, DATEDIF(G80, I80, "m")+1)))</f>
        <v/>
      </c>
    </row>
    <row r="81" customFormat="false" ht="15" hidden="false" customHeight="false" outlineLevel="0" collapsed="false">
      <c r="F81" s="8"/>
      <c r="G81" s="10"/>
      <c r="I81" s="10"/>
      <c r="J81" s="8" t="str">
        <f aca="false">IF(A81="","",SUMIFS(Payments!C:C, Payments!B:B, A81))</f>
        <v/>
      </c>
      <c r="K81" s="0" t="str">
        <f aca="true">IF(A81="","",IF(H81="Active", DATEDIF(G81, TODAY(), "m")+1, IF(ISBLANK(I81), 0, DATEDIF(G81, I81, "m")+1)))</f>
        <v/>
      </c>
    </row>
    <row r="82" customFormat="false" ht="15" hidden="false" customHeight="false" outlineLevel="0" collapsed="false">
      <c r="F82" s="8"/>
      <c r="G82" s="10"/>
      <c r="I82" s="10"/>
      <c r="J82" s="8" t="str">
        <f aca="false">IF(A82="","",SUMIFS(Payments!C:C, Payments!B:B, A82))</f>
        <v/>
      </c>
      <c r="K82" s="0" t="str">
        <f aca="true">IF(A82="","",IF(H82="Active", DATEDIF(G82, TODAY(), "m")+1, IF(ISBLANK(I82), 0, DATEDIF(G82, I82, "m")+1)))</f>
        <v/>
      </c>
    </row>
    <row r="83" customFormat="false" ht="15" hidden="false" customHeight="false" outlineLevel="0" collapsed="false">
      <c r="F83" s="8"/>
      <c r="G83" s="10"/>
      <c r="I83" s="10"/>
      <c r="J83" s="8" t="str">
        <f aca="false">IF(A83="","",SUMIFS(Payments!C:C, Payments!B:B, A83))</f>
        <v/>
      </c>
      <c r="K83" s="0" t="str">
        <f aca="true">IF(A83="","",IF(H83="Active", DATEDIF(G83, TODAY(), "m")+1, IF(ISBLANK(I83), 0, DATEDIF(G83, I83, "m")+1)))</f>
        <v/>
      </c>
    </row>
    <row r="84" customFormat="false" ht="15" hidden="false" customHeight="false" outlineLevel="0" collapsed="false">
      <c r="F84" s="8"/>
      <c r="G84" s="10"/>
      <c r="I84" s="10"/>
      <c r="J84" s="8" t="str">
        <f aca="false">IF(A84="","",SUMIFS(Payments!C:C, Payments!B:B, A84))</f>
        <v/>
      </c>
      <c r="K84" s="0" t="str">
        <f aca="true">IF(A84="","",IF(H84="Active", DATEDIF(G84, TODAY(), "m")+1, IF(ISBLANK(I84), 0, DATEDIF(G84, I84, "m")+1)))</f>
        <v/>
      </c>
    </row>
    <row r="85" customFormat="false" ht="15" hidden="false" customHeight="false" outlineLevel="0" collapsed="false">
      <c r="F85" s="8"/>
      <c r="G85" s="10"/>
      <c r="I85" s="10"/>
      <c r="J85" s="8" t="str">
        <f aca="false">IF(A85="","",SUMIFS(Payments!C:C, Payments!B:B, A85))</f>
        <v/>
      </c>
      <c r="K85" s="0" t="str">
        <f aca="true">IF(A85="","",IF(H85="Active", DATEDIF(G85, TODAY(), "m")+1, IF(ISBLANK(I85), 0, DATEDIF(G85, I85, "m")+1)))</f>
        <v/>
      </c>
    </row>
    <row r="86" customFormat="false" ht="15" hidden="false" customHeight="false" outlineLevel="0" collapsed="false">
      <c r="F86" s="8"/>
      <c r="G86" s="10"/>
      <c r="I86" s="10"/>
      <c r="J86" s="8" t="str">
        <f aca="false">IF(A86="","",SUMIFS(Payments!C:C, Payments!B:B, A86))</f>
        <v/>
      </c>
      <c r="K86" s="0" t="str">
        <f aca="true">IF(A86="","",IF(H86="Active", DATEDIF(G86, TODAY(), "m")+1, IF(ISBLANK(I86), 0, DATEDIF(G86, I86, "m")+1)))</f>
        <v/>
      </c>
    </row>
    <row r="87" customFormat="false" ht="15" hidden="false" customHeight="false" outlineLevel="0" collapsed="false">
      <c r="F87" s="8"/>
      <c r="G87" s="10"/>
      <c r="I87" s="10"/>
      <c r="J87" s="8" t="str">
        <f aca="false">IF(A87="","",SUMIFS(Payments!C:C, Payments!B:B, A87))</f>
        <v/>
      </c>
      <c r="K87" s="0" t="str">
        <f aca="true">IF(A87="","",IF(H87="Active", DATEDIF(G87, TODAY(), "m")+1, IF(ISBLANK(I87), 0, DATEDIF(G87, I87, "m")+1)))</f>
        <v/>
      </c>
    </row>
    <row r="88" customFormat="false" ht="15" hidden="false" customHeight="false" outlineLevel="0" collapsed="false">
      <c r="F88" s="8"/>
      <c r="G88" s="10"/>
      <c r="I88" s="10"/>
      <c r="J88" s="8" t="str">
        <f aca="false">IF(A88="","",SUMIFS(Payments!C:C, Payments!B:B, A88))</f>
        <v/>
      </c>
      <c r="K88" s="0" t="str">
        <f aca="true">IF(A88="","",IF(H88="Active", DATEDIF(G88, TODAY(), "m")+1, IF(ISBLANK(I88), 0, DATEDIF(G88, I88, "m")+1)))</f>
        <v/>
      </c>
    </row>
    <row r="89" customFormat="false" ht="15" hidden="false" customHeight="false" outlineLevel="0" collapsed="false">
      <c r="F89" s="8"/>
      <c r="G89" s="10"/>
      <c r="I89" s="10"/>
      <c r="J89" s="8" t="str">
        <f aca="false">IF(A89="","",SUMIFS(Payments!C:C, Payments!B:B, A89))</f>
        <v/>
      </c>
      <c r="K89" s="0" t="str">
        <f aca="true">IF(A89="","",IF(H89="Active", DATEDIF(G89, TODAY(), "m")+1, IF(ISBLANK(I89), 0, DATEDIF(G89, I89, "m")+1)))</f>
        <v/>
      </c>
    </row>
    <row r="90" customFormat="false" ht="15" hidden="false" customHeight="false" outlineLevel="0" collapsed="false">
      <c r="F90" s="8"/>
      <c r="G90" s="10"/>
      <c r="I90" s="10"/>
      <c r="J90" s="8" t="str">
        <f aca="false">IF(A90="","",SUMIFS(Payments!C:C, Payments!B:B, A90))</f>
        <v/>
      </c>
      <c r="K90" s="0" t="str">
        <f aca="true">IF(A90="","",IF(H90="Active", DATEDIF(G90, TODAY(), "m")+1, IF(ISBLANK(I90), 0, DATEDIF(G90, I90, "m")+1)))</f>
        <v/>
      </c>
    </row>
    <row r="91" customFormat="false" ht="15" hidden="false" customHeight="false" outlineLevel="0" collapsed="false">
      <c r="F91" s="8"/>
      <c r="G91" s="10"/>
      <c r="I91" s="10"/>
      <c r="J91" s="8" t="str">
        <f aca="false">IF(A91="","",SUMIFS(Payments!C:C, Payments!B:B, A91))</f>
        <v/>
      </c>
      <c r="K91" s="0" t="str">
        <f aca="true">IF(A91="","",IF(H91="Active", DATEDIF(G91, TODAY(), "m")+1, IF(ISBLANK(I91), 0, DATEDIF(G91, I91, "m")+1)))</f>
        <v/>
      </c>
    </row>
    <row r="92" customFormat="false" ht="15" hidden="false" customHeight="false" outlineLevel="0" collapsed="false">
      <c r="F92" s="8"/>
      <c r="G92" s="10"/>
      <c r="I92" s="10"/>
      <c r="J92" s="8" t="str">
        <f aca="false">IF(A92="","",SUMIFS(Payments!C:C, Payments!B:B, A92))</f>
        <v/>
      </c>
      <c r="K92" s="0" t="str">
        <f aca="true">IF(A92="","",IF(H92="Active", DATEDIF(G92, TODAY(), "m")+1, IF(ISBLANK(I92), 0, DATEDIF(G92, I92, "m")+1)))</f>
        <v/>
      </c>
    </row>
    <row r="93" customFormat="false" ht="15" hidden="false" customHeight="false" outlineLevel="0" collapsed="false">
      <c r="F93" s="8"/>
      <c r="G93" s="10"/>
      <c r="I93" s="10"/>
      <c r="J93" s="8" t="str">
        <f aca="false">IF(A93="","",SUMIFS(Payments!C:C, Payments!B:B, A93))</f>
        <v/>
      </c>
      <c r="K93" s="0" t="str">
        <f aca="true">IF(A93="","",IF(H93="Active", DATEDIF(G93, TODAY(), "m")+1, IF(ISBLANK(I93), 0, DATEDIF(G93, I93, "m")+1)))</f>
        <v/>
      </c>
    </row>
    <row r="94" customFormat="false" ht="15" hidden="false" customHeight="false" outlineLevel="0" collapsed="false">
      <c r="F94" s="8"/>
      <c r="G94" s="10"/>
      <c r="I94" s="10"/>
      <c r="J94" s="8" t="str">
        <f aca="false">IF(A94="","",SUMIFS(Payments!C:C, Payments!B:B, A94))</f>
        <v/>
      </c>
      <c r="K94" s="0" t="str">
        <f aca="true">IF(A94="","",IF(H94="Active", DATEDIF(G94, TODAY(), "m")+1, IF(ISBLANK(I94), 0, DATEDIF(G94, I94, "m")+1)))</f>
        <v/>
      </c>
    </row>
    <row r="95" customFormat="false" ht="15" hidden="false" customHeight="false" outlineLevel="0" collapsed="false">
      <c r="F95" s="8"/>
      <c r="G95" s="10"/>
      <c r="I95" s="10"/>
      <c r="J95" s="8" t="str">
        <f aca="false">IF(A95="","",SUMIFS(Payments!C:C, Payments!B:B, A95))</f>
        <v/>
      </c>
      <c r="K95" s="0" t="str">
        <f aca="true">IF(A95="","",IF(H95="Active", DATEDIF(G95, TODAY(), "m")+1, IF(ISBLANK(I95), 0, DATEDIF(G95, I95, "m")+1)))</f>
        <v/>
      </c>
    </row>
    <row r="96" customFormat="false" ht="15" hidden="false" customHeight="false" outlineLevel="0" collapsed="false">
      <c r="F96" s="8"/>
      <c r="G96" s="10"/>
      <c r="I96" s="10"/>
      <c r="J96" s="8" t="str">
        <f aca="false">IF(A96="","",SUMIFS(Payments!C:C, Payments!B:B, A96))</f>
        <v/>
      </c>
      <c r="K96" s="0" t="str">
        <f aca="true">IF(A96="","",IF(H96="Active", DATEDIF(G96, TODAY(), "m")+1, IF(ISBLANK(I96), 0, DATEDIF(G96, I96, "m")+1)))</f>
        <v/>
      </c>
    </row>
    <row r="97" customFormat="false" ht="15" hidden="false" customHeight="false" outlineLevel="0" collapsed="false">
      <c r="F97" s="8"/>
      <c r="G97" s="10"/>
      <c r="I97" s="10"/>
      <c r="J97" s="8" t="str">
        <f aca="false">IF(A97="","",SUMIFS(Payments!C:C, Payments!B:B, A97))</f>
        <v/>
      </c>
      <c r="K97" s="0" t="str">
        <f aca="true">IF(A97="","",IF(H97="Active", DATEDIF(G97, TODAY(), "m")+1, IF(ISBLANK(I97), 0, DATEDIF(G97, I97, "m")+1)))</f>
        <v/>
      </c>
    </row>
    <row r="98" customFormat="false" ht="15" hidden="false" customHeight="false" outlineLevel="0" collapsed="false">
      <c r="F98" s="8"/>
      <c r="G98" s="10"/>
      <c r="I98" s="10"/>
      <c r="J98" s="8" t="str">
        <f aca="false">IF(A98="","",SUMIFS(Payments!C:C, Payments!B:B, A98))</f>
        <v/>
      </c>
      <c r="K98" s="0" t="str">
        <f aca="true">IF(A98="","",IF(H98="Active", DATEDIF(G98, TODAY(), "m")+1, IF(ISBLANK(I98), 0, DATEDIF(G98, I98, "m")+1)))</f>
        <v/>
      </c>
    </row>
    <row r="99" customFormat="false" ht="15" hidden="false" customHeight="false" outlineLevel="0" collapsed="false">
      <c r="F99" s="8"/>
      <c r="G99" s="10"/>
      <c r="I99" s="10"/>
      <c r="J99" s="8" t="str">
        <f aca="false">IF(A99="","",SUMIFS(Payments!C:C, Payments!B:B, A99))</f>
        <v/>
      </c>
      <c r="K99" s="0" t="str">
        <f aca="true">IF(A99="","",IF(H99="Active", DATEDIF(G99, TODAY(), "m")+1, IF(ISBLANK(I99), 0, DATEDIF(G99, I99, "m")+1)))</f>
        <v/>
      </c>
    </row>
    <row r="100" customFormat="false" ht="15" hidden="false" customHeight="false" outlineLevel="0" collapsed="false">
      <c r="F100" s="8"/>
      <c r="G100" s="10"/>
      <c r="I100" s="10"/>
      <c r="J100" s="8" t="str">
        <f aca="false">IF(A100="","",SUMIFS(Payments!C:C, Payments!B:B, A100))</f>
        <v/>
      </c>
      <c r="K100" s="0" t="str">
        <f aca="true">IF(A100="","",IF(H100="Active", DATEDIF(G100, TODAY(), "m")+1, IF(ISBLANK(I100), 0, DATEDIF(G100, I100, "m")+1)))</f>
        <v/>
      </c>
    </row>
    <row r="101" customFormat="false" ht="15" hidden="false" customHeight="false" outlineLevel="0" collapsed="false">
      <c r="F101" s="8"/>
      <c r="G101" s="10"/>
      <c r="I101" s="10"/>
      <c r="J101" s="8" t="str">
        <f aca="false">IF(A101="","",SUMIFS(Payments!C:C, Payments!B:B, A101))</f>
        <v/>
      </c>
      <c r="K101" s="0" t="str">
        <f aca="true">IF(A101="","",IF(H101="Active", DATEDIF(G101, TODAY(), "m")+1, IF(ISBLANK(I101), 0, DATEDIF(G101, I101, "m")+1)))</f>
        <v/>
      </c>
    </row>
    <row r="102" customFormat="false" ht="15" hidden="false" customHeight="false" outlineLevel="0" collapsed="false">
      <c r="F102" s="8"/>
      <c r="G102" s="10"/>
      <c r="I102" s="10"/>
      <c r="J102" s="8" t="str">
        <f aca="false">IF(A102="","",SUMIFS(Payments!C:C, Payments!B:B, A102))</f>
        <v/>
      </c>
      <c r="K102" s="0" t="str">
        <f aca="true">IF(A102="","",IF(H102="Active", DATEDIF(G102, TODAY(), "m")+1, IF(ISBLANK(I102), 0, DATEDIF(G102, I102, "m")+1)))</f>
        <v/>
      </c>
    </row>
    <row r="103" customFormat="false" ht="15" hidden="false" customHeight="false" outlineLevel="0" collapsed="false">
      <c r="F103" s="8"/>
      <c r="G103" s="10"/>
      <c r="I103" s="10"/>
      <c r="J103" s="8" t="str">
        <f aca="false">IF(A103="","",SUMIFS(Payments!C:C, Payments!B:B, A103))</f>
        <v/>
      </c>
      <c r="K103" s="0" t="str">
        <f aca="true">IF(A103="","",IF(H103="Active", DATEDIF(G103, TODAY(), "m")+1, IF(ISBLANK(I103), 0, DATEDIF(G103, I103, "m")+1)))</f>
        <v/>
      </c>
    </row>
    <row r="104" customFormat="false" ht="15" hidden="false" customHeight="false" outlineLevel="0" collapsed="false">
      <c r="F104" s="8"/>
      <c r="G104" s="10"/>
      <c r="I104" s="10"/>
      <c r="J104" s="8" t="str">
        <f aca="false">IF(A104="","",SUMIFS(Payments!C:C, Payments!B:B, A104))</f>
        <v/>
      </c>
      <c r="K104" s="0" t="str">
        <f aca="true">IF(A104="","",IF(H104="Active", DATEDIF(G104, TODAY(), "m")+1, IF(ISBLANK(I104), 0, DATEDIF(G104, I104, "m")+1)))</f>
        <v/>
      </c>
    </row>
    <row r="105" customFormat="false" ht="15" hidden="false" customHeight="false" outlineLevel="0" collapsed="false">
      <c r="F105" s="8"/>
      <c r="G105" s="10"/>
      <c r="I105" s="10"/>
      <c r="J105" s="8" t="str">
        <f aca="false">IF(A105="","",SUMIFS(Payments!C:C, Payments!B:B, A105))</f>
        <v/>
      </c>
      <c r="K105" s="0" t="str">
        <f aca="true">IF(A105="","",IF(H105="Active", DATEDIF(G105, TODAY(), "m")+1, IF(ISBLANK(I105), 0, DATEDIF(G105, I105, "m")+1)))</f>
        <v/>
      </c>
    </row>
    <row r="106" customFormat="false" ht="15" hidden="false" customHeight="false" outlineLevel="0" collapsed="false">
      <c r="F106" s="8"/>
      <c r="G106" s="10"/>
      <c r="I106" s="10"/>
      <c r="J106" s="8" t="str">
        <f aca="false">IF(A106="","",SUMIFS(Payments!C:C, Payments!B:B, A106))</f>
        <v/>
      </c>
      <c r="K106" s="0" t="str">
        <f aca="true">IF(A106="","",IF(H106="Active", DATEDIF(G106, TODAY(), "m")+1, IF(ISBLANK(I106), 0, DATEDIF(G106, I106, "m")+1)))</f>
        <v/>
      </c>
    </row>
    <row r="107" customFormat="false" ht="15" hidden="false" customHeight="false" outlineLevel="0" collapsed="false">
      <c r="F107" s="8"/>
      <c r="G107" s="10"/>
      <c r="I107" s="10"/>
      <c r="J107" s="8" t="str">
        <f aca="false">IF(A107="","",SUMIFS(Payments!C:C, Payments!B:B, A107))</f>
        <v/>
      </c>
      <c r="K107" s="0" t="str">
        <f aca="true">IF(A107="","",IF(H107="Active", DATEDIF(G107, TODAY(), "m")+1, IF(ISBLANK(I107), 0, DATEDIF(G107, I107, "m")+1)))</f>
        <v/>
      </c>
    </row>
    <row r="108" customFormat="false" ht="15" hidden="false" customHeight="false" outlineLevel="0" collapsed="false">
      <c r="F108" s="8"/>
      <c r="G108" s="10"/>
      <c r="I108" s="10"/>
      <c r="J108" s="8" t="str">
        <f aca="false">IF(A108="","",SUMIFS(Payments!C:C, Payments!B:B, A108))</f>
        <v/>
      </c>
      <c r="K108" s="0" t="str">
        <f aca="true">IF(A108="","",IF(H108="Active", DATEDIF(G108, TODAY(), "m")+1, IF(ISBLANK(I108), 0, DATEDIF(G108, I108, "m")+1)))</f>
        <v/>
      </c>
    </row>
    <row r="109" customFormat="false" ht="15" hidden="false" customHeight="false" outlineLevel="0" collapsed="false">
      <c r="F109" s="8"/>
      <c r="G109" s="10"/>
      <c r="I109" s="10"/>
      <c r="J109" s="8" t="str">
        <f aca="false">IF(A109="","",SUMIFS(Payments!C:C, Payments!B:B, A109))</f>
        <v/>
      </c>
      <c r="K109" s="0" t="str">
        <f aca="true">IF(A109="","",IF(H109="Active", DATEDIF(G109, TODAY(), "m")+1, IF(ISBLANK(I109), 0, DATEDIF(G109, I109, "m")+1)))</f>
        <v/>
      </c>
    </row>
    <row r="110" customFormat="false" ht="15" hidden="false" customHeight="false" outlineLevel="0" collapsed="false">
      <c r="F110" s="8"/>
      <c r="G110" s="10"/>
      <c r="I110" s="10"/>
      <c r="J110" s="8" t="str">
        <f aca="false">IF(A110="","",SUMIFS(Payments!C:C, Payments!B:B, A110))</f>
        <v/>
      </c>
      <c r="K110" s="0" t="str">
        <f aca="true">IF(A110="","",IF(H110="Active", DATEDIF(G110, TODAY(), "m")+1, IF(ISBLANK(I110), 0, DATEDIF(G110, I110, "m")+1)))</f>
        <v/>
      </c>
    </row>
    <row r="111" customFormat="false" ht="15" hidden="false" customHeight="false" outlineLevel="0" collapsed="false">
      <c r="F111" s="8"/>
      <c r="G111" s="10"/>
      <c r="I111" s="10"/>
      <c r="J111" s="8" t="str">
        <f aca="false">IF(A111="","",SUMIFS(Payments!C:C, Payments!B:B, A111))</f>
        <v/>
      </c>
      <c r="K111" s="0" t="str">
        <f aca="true">IF(A111="","",IF(H111="Active", DATEDIF(G111, TODAY(), "m")+1, IF(ISBLANK(I111), 0, DATEDIF(G111, I111, "m")+1)))</f>
        <v/>
      </c>
    </row>
    <row r="112" customFormat="false" ht="15" hidden="false" customHeight="false" outlineLevel="0" collapsed="false">
      <c r="F112" s="8"/>
      <c r="G112" s="10"/>
      <c r="I112" s="10"/>
      <c r="J112" s="8" t="str">
        <f aca="false">IF(A112="","",SUMIFS(Payments!C:C, Payments!B:B, A112))</f>
        <v/>
      </c>
      <c r="K112" s="0" t="str">
        <f aca="true">IF(A112="","",IF(H112="Active", DATEDIF(G112, TODAY(), "m")+1, IF(ISBLANK(I112), 0, DATEDIF(G112, I112, "m")+1)))</f>
        <v/>
      </c>
    </row>
    <row r="113" customFormat="false" ht="15" hidden="false" customHeight="false" outlineLevel="0" collapsed="false">
      <c r="F113" s="8"/>
      <c r="G113" s="10"/>
      <c r="I113" s="10"/>
      <c r="J113" s="8" t="str">
        <f aca="false">IF(A113="","",SUMIFS(Payments!C:C, Payments!B:B, A113))</f>
        <v/>
      </c>
      <c r="K113" s="0" t="str">
        <f aca="true">IF(A113="","",IF(H113="Active", DATEDIF(G113, TODAY(), "m")+1, IF(ISBLANK(I113), 0, DATEDIF(G113, I113, "m")+1)))</f>
        <v/>
      </c>
    </row>
    <row r="114" customFormat="false" ht="15" hidden="false" customHeight="false" outlineLevel="0" collapsed="false">
      <c r="F114" s="8"/>
      <c r="G114" s="10"/>
      <c r="I114" s="10"/>
      <c r="J114" s="8" t="str">
        <f aca="false">IF(A114="","",SUMIFS(Payments!C:C, Payments!B:B, A114))</f>
        <v/>
      </c>
      <c r="K114" s="0" t="str">
        <f aca="true">IF(A114="","",IF(H114="Active", DATEDIF(G114, TODAY(), "m")+1, IF(ISBLANK(I114), 0, DATEDIF(G114, I114, "m")+1)))</f>
        <v/>
      </c>
    </row>
    <row r="115" customFormat="false" ht="15" hidden="false" customHeight="false" outlineLevel="0" collapsed="false">
      <c r="F115" s="8"/>
      <c r="G115" s="10"/>
      <c r="I115" s="10"/>
      <c r="J115" s="8" t="str">
        <f aca="false">IF(A115="","",SUMIFS(Payments!C:C, Payments!B:B, A115))</f>
        <v/>
      </c>
      <c r="K115" s="0" t="str">
        <f aca="true">IF(A115="","",IF(H115="Active", DATEDIF(G115, TODAY(), "m")+1, IF(ISBLANK(I115), 0, DATEDIF(G115, I115, "m")+1)))</f>
        <v/>
      </c>
    </row>
    <row r="116" customFormat="false" ht="15" hidden="false" customHeight="false" outlineLevel="0" collapsed="false">
      <c r="F116" s="8"/>
      <c r="G116" s="10"/>
      <c r="I116" s="10"/>
      <c r="J116" s="8" t="str">
        <f aca="false">IF(A116="","",SUMIFS(Payments!C:C, Payments!B:B, A116))</f>
        <v/>
      </c>
      <c r="K116" s="0" t="str">
        <f aca="true">IF(A116="","",IF(H116="Active", DATEDIF(G116, TODAY(), "m")+1, IF(ISBLANK(I116), 0, DATEDIF(G116, I116, "m")+1)))</f>
        <v/>
      </c>
    </row>
    <row r="117" customFormat="false" ht="15" hidden="false" customHeight="false" outlineLevel="0" collapsed="false">
      <c r="F117" s="8"/>
      <c r="G117" s="10"/>
      <c r="I117" s="10"/>
      <c r="J117" s="8" t="str">
        <f aca="false">IF(A117="","",SUMIFS(Payments!C:C, Payments!B:B, A117))</f>
        <v/>
      </c>
      <c r="K117" s="0" t="str">
        <f aca="true">IF(A117="","",IF(H117="Active", DATEDIF(G117, TODAY(), "m")+1, IF(ISBLANK(I117), 0, DATEDIF(G117, I117, "m")+1)))</f>
        <v/>
      </c>
    </row>
    <row r="118" customFormat="false" ht="15" hidden="false" customHeight="false" outlineLevel="0" collapsed="false">
      <c r="F118" s="8"/>
      <c r="G118" s="10"/>
      <c r="I118" s="10"/>
      <c r="J118" s="8" t="str">
        <f aca="false">IF(A118="","",SUMIFS(Payments!C:C, Payments!B:B, A118))</f>
        <v/>
      </c>
      <c r="K118" s="0" t="str">
        <f aca="true">IF(A118="","",IF(H118="Active", DATEDIF(G118, TODAY(), "m")+1, IF(ISBLANK(I118), 0, DATEDIF(G118, I118, "m")+1)))</f>
        <v/>
      </c>
    </row>
    <row r="119" customFormat="false" ht="15" hidden="false" customHeight="false" outlineLevel="0" collapsed="false">
      <c r="F119" s="8"/>
      <c r="G119" s="10"/>
      <c r="I119" s="10"/>
      <c r="J119" s="8" t="str">
        <f aca="false">IF(A119="","",SUMIFS(Payments!C:C, Payments!B:B, A119))</f>
        <v/>
      </c>
      <c r="K119" s="0" t="str">
        <f aca="true">IF(A119="","",IF(H119="Active", DATEDIF(G119, TODAY(), "m")+1, IF(ISBLANK(I119), 0, DATEDIF(G119, I119, "m")+1)))</f>
        <v/>
      </c>
    </row>
    <row r="120" customFormat="false" ht="15" hidden="false" customHeight="false" outlineLevel="0" collapsed="false">
      <c r="F120" s="8"/>
      <c r="G120" s="10"/>
      <c r="I120" s="10"/>
      <c r="J120" s="8" t="str">
        <f aca="false">IF(A120="","",SUMIFS(Payments!C:C, Payments!B:B, A120))</f>
        <v/>
      </c>
      <c r="K120" s="0" t="str">
        <f aca="true">IF(A120="","",IF(H120="Active", DATEDIF(G120, TODAY(), "m")+1, IF(ISBLANK(I120), 0, DATEDIF(G120, I120, "m")+1)))</f>
        <v/>
      </c>
    </row>
    <row r="121" customFormat="false" ht="15" hidden="false" customHeight="false" outlineLevel="0" collapsed="false">
      <c r="F121" s="8"/>
      <c r="G121" s="10"/>
      <c r="I121" s="10"/>
      <c r="J121" s="8" t="str">
        <f aca="false">IF(A121="","",SUMIFS(Payments!C:C, Payments!B:B, A121))</f>
        <v/>
      </c>
      <c r="K121" s="0" t="str">
        <f aca="true">IF(A121="","",IF(H121="Active", DATEDIF(G121, TODAY(), "m")+1, IF(ISBLANK(I121), 0, DATEDIF(G121, I121, "m")+1)))</f>
        <v/>
      </c>
    </row>
    <row r="122" customFormat="false" ht="15" hidden="false" customHeight="false" outlineLevel="0" collapsed="false">
      <c r="F122" s="8"/>
      <c r="G122" s="10"/>
      <c r="I122" s="10"/>
      <c r="J122" s="8" t="str">
        <f aca="false">IF(A122="","",SUMIFS(Payments!C:C, Payments!B:B, A122))</f>
        <v/>
      </c>
      <c r="K122" s="0" t="str">
        <f aca="true">IF(A122="","",IF(H122="Active", DATEDIF(G122, TODAY(), "m")+1, IF(ISBLANK(I122), 0, DATEDIF(G122, I122, "m")+1)))</f>
        <v/>
      </c>
    </row>
    <row r="123" customFormat="false" ht="15" hidden="false" customHeight="false" outlineLevel="0" collapsed="false">
      <c r="F123" s="8"/>
      <c r="G123" s="10"/>
      <c r="I123" s="10"/>
      <c r="J123" s="8" t="str">
        <f aca="false">IF(A123="","",SUMIFS(Payments!C:C, Payments!B:B, A123))</f>
        <v/>
      </c>
      <c r="K123" s="0" t="str">
        <f aca="true">IF(A123="","",IF(H123="Active", DATEDIF(G123, TODAY(), "m")+1, IF(ISBLANK(I123), 0, DATEDIF(G123, I123, "m")+1)))</f>
        <v/>
      </c>
    </row>
    <row r="124" customFormat="false" ht="15" hidden="false" customHeight="false" outlineLevel="0" collapsed="false">
      <c r="F124" s="8"/>
      <c r="G124" s="10"/>
      <c r="I124" s="10"/>
      <c r="J124" s="8" t="str">
        <f aca="false">IF(A124="","",SUMIFS(Payments!C:C, Payments!B:B, A124))</f>
        <v/>
      </c>
      <c r="K124" s="0" t="str">
        <f aca="true">IF(A124="","",IF(H124="Active", DATEDIF(G124, TODAY(), "m")+1, IF(ISBLANK(I124), 0, DATEDIF(G124, I124, "m")+1)))</f>
        <v/>
      </c>
    </row>
    <row r="125" customFormat="false" ht="15" hidden="false" customHeight="false" outlineLevel="0" collapsed="false">
      <c r="F125" s="8"/>
      <c r="G125" s="10"/>
      <c r="I125" s="10"/>
      <c r="J125" s="8" t="str">
        <f aca="false">IF(A125="","",SUMIFS(Payments!C:C, Payments!B:B, A125))</f>
        <v/>
      </c>
      <c r="K125" s="0" t="str">
        <f aca="true">IF(A125="","",IF(H125="Active", DATEDIF(G125, TODAY(), "m")+1, IF(ISBLANK(I125), 0, DATEDIF(G125, I125, "m")+1)))</f>
        <v/>
      </c>
    </row>
    <row r="126" customFormat="false" ht="15" hidden="false" customHeight="false" outlineLevel="0" collapsed="false">
      <c r="F126" s="8"/>
      <c r="G126" s="10"/>
      <c r="I126" s="10"/>
      <c r="J126" s="8" t="str">
        <f aca="false">IF(A126="","",SUMIFS(Payments!C:C, Payments!B:B, A126))</f>
        <v/>
      </c>
      <c r="K126" s="0" t="str">
        <f aca="true">IF(A126="","",IF(H126="Active", DATEDIF(G126, TODAY(), "m")+1, IF(ISBLANK(I126), 0, DATEDIF(G126, I126, "m")+1)))</f>
        <v/>
      </c>
    </row>
    <row r="127" customFormat="false" ht="15" hidden="false" customHeight="false" outlineLevel="0" collapsed="false">
      <c r="F127" s="8"/>
      <c r="G127" s="10"/>
      <c r="I127" s="10"/>
      <c r="J127" s="8" t="str">
        <f aca="false">IF(A127="","",SUMIFS(Payments!C:C, Payments!B:B, A127))</f>
        <v/>
      </c>
      <c r="K127" s="0" t="str">
        <f aca="true">IF(A127="","",IF(H127="Active", DATEDIF(G127, TODAY(), "m")+1, IF(ISBLANK(I127), 0, DATEDIF(G127, I127, "m")+1)))</f>
        <v/>
      </c>
    </row>
    <row r="128" customFormat="false" ht="15" hidden="false" customHeight="false" outlineLevel="0" collapsed="false">
      <c r="F128" s="8"/>
      <c r="G128" s="10"/>
      <c r="I128" s="10"/>
      <c r="J128" s="8" t="str">
        <f aca="false">IF(A128="","",SUMIFS(Payments!C:C, Payments!B:B, A128))</f>
        <v/>
      </c>
      <c r="K128" s="0" t="str">
        <f aca="true">IF(A128="","",IF(H128="Active", DATEDIF(G128, TODAY(), "m")+1, IF(ISBLANK(I128), 0, DATEDIF(G128, I128, "m")+1)))</f>
        <v/>
      </c>
    </row>
    <row r="129" customFormat="false" ht="15" hidden="false" customHeight="false" outlineLevel="0" collapsed="false">
      <c r="F129" s="8"/>
      <c r="G129" s="10"/>
      <c r="I129" s="10"/>
      <c r="J129" s="8" t="str">
        <f aca="false">IF(A129="","",SUMIFS(Payments!C:C, Payments!B:B, A129))</f>
        <v/>
      </c>
      <c r="K129" s="0" t="str">
        <f aca="true">IF(A129="","",IF(H129="Active", DATEDIF(G129, TODAY(), "m")+1, IF(ISBLANK(I129), 0, DATEDIF(G129, I129, "m")+1)))</f>
        <v/>
      </c>
    </row>
    <row r="130" customFormat="false" ht="15" hidden="false" customHeight="false" outlineLevel="0" collapsed="false">
      <c r="F130" s="8"/>
      <c r="G130" s="10"/>
      <c r="I130" s="10"/>
      <c r="J130" s="8" t="str">
        <f aca="false">IF(A130="","",SUMIFS(Payments!C:C, Payments!B:B, A130))</f>
        <v/>
      </c>
      <c r="K130" s="0" t="str">
        <f aca="true">IF(A130="","",IF(H130="Active", DATEDIF(G130, TODAY(), "m")+1, IF(ISBLANK(I130), 0, DATEDIF(G130, I130, "m")+1)))</f>
        <v/>
      </c>
    </row>
    <row r="131" customFormat="false" ht="15" hidden="false" customHeight="false" outlineLevel="0" collapsed="false">
      <c r="F131" s="8"/>
      <c r="G131" s="10"/>
      <c r="I131" s="10"/>
      <c r="J131" s="8" t="str">
        <f aca="false">IF(A131="","",SUMIFS(Payments!C:C, Payments!B:B, A131))</f>
        <v/>
      </c>
      <c r="K131" s="0" t="str">
        <f aca="true">IF(A131="","",IF(H131="Active", DATEDIF(G131, TODAY(), "m")+1, IF(ISBLANK(I131), 0, DATEDIF(G131, I131, "m")+1)))</f>
        <v/>
      </c>
    </row>
    <row r="132" customFormat="false" ht="15" hidden="false" customHeight="false" outlineLevel="0" collapsed="false">
      <c r="F132" s="8"/>
      <c r="G132" s="10"/>
      <c r="I132" s="10"/>
      <c r="J132" s="8" t="str">
        <f aca="false">IF(A132="","",SUMIFS(Payments!C:C, Payments!B:B, A132))</f>
        <v/>
      </c>
      <c r="K132" s="0" t="str">
        <f aca="true">IF(A132="","",IF(H132="Active", DATEDIF(G132, TODAY(), "m")+1, IF(ISBLANK(I132), 0, DATEDIF(G132, I132, "m")+1)))</f>
        <v/>
      </c>
    </row>
    <row r="133" customFormat="false" ht="15" hidden="false" customHeight="false" outlineLevel="0" collapsed="false">
      <c r="F133" s="8"/>
      <c r="G133" s="10"/>
      <c r="I133" s="10"/>
      <c r="J133" s="8" t="str">
        <f aca="false">IF(A133="","",SUMIFS(Payments!C:C, Payments!B:B, A133))</f>
        <v/>
      </c>
      <c r="K133" s="0" t="str">
        <f aca="true">IF(A133="","",IF(H133="Active", DATEDIF(G133, TODAY(), "m")+1, IF(ISBLANK(I133), 0, DATEDIF(G133, I133, "m")+1)))</f>
        <v/>
      </c>
    </row>
    <row r="134" customFormat="false" ht="15" hidden="false" customHeight="false" outlineLevel="0" collapsed="false">
      <c r="F134" s="8"/>
      <c r="G134" s="10"/>
      <c r="I134" s="10"/>
      <c r="J134" s="8" t="str">
        <f aca="false">IF(A134="","",SUMIFS(Payments!C:C, Payments!B:B, A134))</f>
        <v/>
      </c>
      <c r="K134" s="0" t="str">
        <f aca="true">IF(A134="","",IF(H134="Active", DATEDIF(G134, TODAY(), "m")+1, IF(ISBLANK(I134), 0, DATEDIF(G134, I134, "m")+1)))</f>
        <v/>
      </c>
    </row>
    <row r="135" customFormat="false" ht="15" hidden="false" customHeight="false" outlineLevel="0" collapsed="false">
      <c r="F135" s="8"/>
      <c r="G135" s="10"/>
      <c r="I135" s="10"/>
      <c r="J135" s="8" t="str">
        <f aca="false">IF(A135="","",SUMIFS(Payments!C:C, Payments!B:B, A135))</f>
        <v/>
      </c>
      <c r="K135" s="0" t="str">
        <f aca="true">IF(A135="","",IF(H135="Active", DATEDIF(G135, TODAY(), "m")+1, IF(ISBLANK(I135), 0, DATEDIF(G135, I135, "m")+1)))</f>
        <v/>
      </c>
    </row>
    <row r="136" customFormat="false" ht="15" hidden="false" customHeight="false" outlineLevel="0" collapsed="false">
      <c r="F136" s="8"/>
      <c r="G136" s="10"/>
      <c r="I136" s="10"/>
      <c r="J136" s="8" t="str">
        <f aca="false">IF(A136="","",SUMIFS(Payments!C:C, Payments!B:B, A136))</f>
        <v/>
      </c>
      <c r="K136" s="0" t="str">
        <f aca="true">IF(A136="","",IF(H136="Active", DATEDIF(G136, TODAY(), "m")+1, IF(ISBLANK(I136), 0, DATEDIF(G136, I136, "m")+1)))</f>
        <v/>
      </c>
    </row>
    <row r="137" customFormat="false" ht="15" hidden="false" customHeight="false" outlineLevel="0" collapsed="false">
      <c r="F137" s="8"/>
      <c r="G137" s="10"/>
      <c r="I137" s="10"/>
      <c r="J137" s="8" t="str">
        <f aca="false">IF(A137="","",SUMIFS(Payments!C:C, Payments!B:B, A137))</f>
        <v/>
      </c>
      <c r="K137" s="0" t="str">
        <f aca="true">IF(A137="","",IF(H137="Active", DATEDIF(G137, TODAY(), "m")+1, IF(ISBLANK(I137), 0, DATEDIF(G137, I137, "m")+1)))</f>
        <v/>
      </c>
    </row>
    <row r="138" customFormat="false" ht="15" hidden="false" customHeight="false" outlineLevel="0" collapsed="false">
      <c r="F138" s="8"/>
      <c r="G138" s="10"/>
      <c r="I138" s="10"/>
      <c r="J138" s="8" t="str">
        <f aca="false">IF(A138="","",SUMIFS(Payments!C:C, Payments!B:B, A138))</f>
        <v/>
      </c>
      <c r="K138" s="0" t="str">
        <f aca="true">IF(A138="","",IF(H138="Active", DATEDIF(G138, TODAY(), "m")+1, IF(ISBLANK(I138), 0, DATEDIF(G138, I138, "m")+1)))</f>
        <v/>
      </c>
    </row>
    <row r="139" customFormat="false" ht="15" hidden="false" customHeight="false" outlineLevel="0" collapsed="false">
      <c r="F139" s="8"/>
      <c r="G139" s="10"/>
      <c r="I139" s="10"/>
      <c r="J139" s="8" t="str">
        <f aca="false">IF(A139="","",SUMIFS(Payments!C:C, Payments!B:B, A139))</f>
        <v/>
      </c>
      <c r="K139" s="0" t="str">
        <f aca="true">IF(A139="","",IF(H139="Active", DATEDIF(G139, TODAY(), "m")+1, IF(ISBLANK(I139), 0, DATEDIF(G139, I139, "m")+1)))</f>
        <v/>
      </c>
    </row>
    <row r="140" customFormat="false" ht="15" hidden="false" customHeight="false" outlineLevel="0" collapsed="false">
      <c r="F140" s="8"/>
      <c r="G140" s="10"/>
      <c r="I140" s="10"/>
      <c r="J140" s="8" t="str">
        <f aca="false">IF(A140="","",SUMIFS(Payments!C:C, Payments!B:B, A140))</f>
        <v/>
      </c>
      <c r="K140" s="0" t="str">
        <f aca="true">IF(A140="","",IF(H140="Active", DATEDIF(G140, TODAY(), "m")+1, IF(ISBLANK(I140), 0, DATEDIF(G140, I140, "m")+1)))</f>
        <v/>
      </c>
    </row>
    <row r="141" customFormat="false" ht="15" hidden="false" customHeight="false" outlineLevel="0" collapsed="false">
      <c r="F141" s="8"/>
      <c r="G141" s="10"/>
      <c r="I141" s="10"/>
      <c r="J141" s="8" t="str">
        <f aca="false">IF(A141="","",SUMIFS(Payments!C:C, Payments!B:B, A141))</f>
        <v/>
      </c>
      <c r="K141" s="0" t="str">
        <f aca="true">IF(A141="","",IF(H141="Active", DATEDIF(G141, TODAY(), "m")+1, IF(ISBLANK(I141), 0, DATEDIF(G141, I141, "m")+1)))</f>
        <v/>
      </c>
    </row>
    <row r="142" customFormat="false" ht="15" hidden="false" customHeight="false" outlineLevel="0" collapsed="false">
      <c r="F142" s="8"/>
      <c r="G142" s="10"/>
      <c r="I142" s="10"/>
      <c r="J142" s="8" t="str">
        <f aca="false">IF(A142="","",SUMIFS(Payments!C:C, Payments!B:B, A142))</f>
        <v/>
      </c>
      <c r="K142" s="0" t="str">
        <f aca="true">IF(A142="","",IF(H142="Active", DATEDIF(G142, TODAY(), "m")+1, IF(ISBLANK(I142), 0, DATEDIF(G142, I142, "m")+1)))</f>
        <v/>
      </c>
    </row>
    <row r="143" customFormat="false" ht="15" hidden="false" customHeight="false" outlineLevel="0" collapsed="false">
      <c r="F143" s="8"/>
      <c r="G143" s="10"/>
      <c r="I143" s="10"/>
      <c r="J143" s="8" t="str">
        <f aca="false">IF(A143="","",SUMIFS(Payments!C:C, Payments!B:B, A143))</f>
        <v/>
      </c>
      <c r="K143" s="0" t="str">
        <f aca="true">IF(A143="","",IF(H143="Active", DATEDIF(G143, TODAY(), "m")+1, IF(ISBLANK(I143), 0, DATEDIF(G143, I143, "m")+1)))</f>
        <v/>
      </c>
    </row>
    <row r="144" customFormat="false" ht="15" hidden="false" customHeight="false" outlineLevel="0" collapsed="false">
      <c r="F144" s="8"/>
      <c r="G144" s="10"/>
      <c r="I144" s="10"/>
      <c r="J144" s="8" t="str">
        <f aca="false">IF(A144="","",SUMIFS(Payments!C:C, Payments!B:B, A144))</f>
        <v/>
      </c>
      <c r="K144" s="0" t="str">
        <f aca="true">IF(A144="","",IF(H144="Active", DATEDIF(G144, TODAY(), "m")+1, IF(ISBLANK(I144), 0, DATEDIF(G144, I144, "m")+1)))</f>
        <v/>
      </c>
    </row>
    <row r="145" customFormat="false" ht="15" hidden="false" customHeight="false" outlineLevel="0" collapsed="false">
      <c r="F145" s="8"/>
      <c r="G145" s="10"/>
      <c r="I145" s="10"/>
      <c r="J145" s="8" t="str">
        <f aca="false">IF(A145="","",SUMIFS(Payments!C:C, Payments!B:B, A145))</f>
        <v/>
      </c>
      <c r="K145" s="0" t="str">
        <f aca="true">IF(A145="","",IF(H145="Active", DATEDIF(G145, TODAY(), "m")+1, IF(ISBLANK(I145), 0, DATEDIF(G145, I145, "m")+1)))</f>
        <v/>
      </c>
    </row>
    <row r="146" customFormat="false" ht="15" hidden="false" customHeight="false" outlineLevel="0" collapsed="false">
      <c r="F146" s="8"/>
      <c r="G146" s="10"/>
      <c r="I146" s="10"/>
      <c r="J146" s="8" t="str">
        <f aca="false">IF(A146="","",SUMIFS(Payments!C:C, Payments!B:B, A146))</f>
        <v/>
      </c>
      <c r="K146" s="0" t="str">
        <f aca="true">IF(A146="","",IF(H146="Active", DATEDIF(G146, TODAY(), "m")+1, IF(ISBLANK(I146), 0, DATEDIF(G146, I146, "m")+1)))</f>
        <v/>
      </c>
    </row>
    <row r="147" customFormat="false" ht="15" hidden="false" customHeight="false" outlineLevel="0" collapsed="false">
      <c r="F147" s="8"/>
      <c r="G147" s="10"/>
      <c r="I147" s="10"/>
      <c r="J147" s="8" t="str">
        <f aca="false">IF(A147="","",SUMIFS(Payments!C:C, Payments!B:B, A147))</f>
        <v/>
      </c>
      <c r="K147" s="0" t="str">
        <f aca="true">IF(A147="","",IF(H147="Active", DATEDIF(G147, TODAY(), "m")+1, IF(ISBLANK(I147), 0, DATEDIF(G147, I147, "m")+1)))</f>
        <v/>
      </c>
    </row>
    <row r="148" customFormat="false" ht="15" hidden="false" customHeight="false" outlineLevel="0" collapsed="false">
      <c r="F148" s="8"/>
      <c r="G148" s="10"/>
      <c r="I148" s="10"/>
      <c r="J148" s="8" t="str">
        <f aca="false">IF(A148="","",SUMIFS(Payments!C:C, Payments!B:B, A148))</f>
        <v/>
      </c>
      <c r="K148" s="0" t="str">
        <f aca="true">IF(A148="","",IF(H148="Active", DATEDIF(G148, TODAY(), "m")+1, IF(ISBLANK(I148), 0, DATEDIF(G148, I148, "m")+1)))</f>
        <v/>
      </c>
    </row>
    <row r="149" customFormat="false" ht="15" hidden="false" customHeight="false" outlineLevel="0" collapsed="false">
      <c r="F149" s="8"/>
      <c r="G149" s="10"/>
      <c r="I149" s="10"/>
      <c r="J149" s="8" t="str">
        <f aca="false">IF(A149="","",SUMIFS(Payments!C:C, Payments!B:B, A149))</f>
        <v/>
      </c>
      <c r="K149" s="0" t="str">
        <f aca="true">IF(A149="","",IF(H149="Active", DATEDIF(G149, TODAY(), "m")+1, IF(ISBLANK(I149), 0, DATEDIF(G149, I149, "m")+1)))</f>
        <v/>
      </c>
    </row>
    <row r="150" customFormat="false" ht="15" hidden="false" customHeight="false" outlineLevel="0" collapsed="false">
      <c r="F150" s="8"/>
      <c r="G150" s="10"/>
      <c r="I150" s="10"/>
      <c r="J150" s="8" t="str">
        <f aca="false">IF(A150="","",SUMIFS(Payments!C:C, Payments!B:B, A150))</f>
        <v/>
      </c>
      <c r="K150" s="0" t="str">
        <f aca="true">IF(A150="","",IF(H150="Active", DATEDIF(G150, TODAY(), "m")+1, IF(ISBLANK(I150), 0, DATEDIF(G150, I150, "m")+1)))</f>
        <v/>
      </c>
    </row>
    <row r="151" customFormat="false" ht="15" hidden="false" customHeight="false" outlineLevel="0" collapsed="false">
      <c r="F151" s="8"/>
      <c r="G151" s="10"/>
      <c r="I151" s="10"/>
      <c r="J151" s="8" t="str">
        <f aca="false">IF(A151="","",SUMIFS(Payments!C:C, Payments!B:B, A151))</f>
        <v/>
      </c>
      <c r="K151" s="0" t="str">
        <f aca="true">IF(A151="","",IF(H151="Active", DATEDIF(G151, TODAY(), "m")+1, IF(ISBLANK(I151), 0, DATEDIF(G151, I151, "m")+1)))</f>
        <v/>
      </c>
    </row>
    <row r="152" customFormat="false" ht="15" hidden="false" customHeight="false" outlineLevel="0" collapsed="false">
      <c r="F152" s="8"/>
      <c r="G152" s="10"/>
      <c r="I152" s="10"/>
      <c r="J152" s="8" t="str">
        <f aca="false">IF(A152="","",SUMIFS(Payments!C:C, Payments!B:B, A152))</f>
        <v/>
      </c>
      <c r="K152" s="0" t="str">
        <f aca="true">IF(A152="","",IF(H152="Active", DATEDIF(G152, TODAY(), "m")+1, IF(ISBLANK(I152), 0, DATEDIF(G152, I152, "m")+1)))</f>
        <v/>
      </c>
    </row>
    <row r="153" customFormat="false" ht="15" hidden="false" customHeight="false" outlineLevel="0" collapsed="false">
      <c r="F153" s="8"/>
      <c r="G153" s="10"/>
      <c r="I153" s="10"/>
      <c r="J153" s="8" t="str">
        <f aca="false">IF(A153="","",SUMIFS(Payments!C:C, Payments!B:B, A153))</f>
        <v/>
      </c>
      <c r="K153" s="0" t="str">
        <f aca="true">IF(A153="","",IF(H153="Active", DATEDIF(G153, TODAY(), "m")+1, IF(ISBLANK(I153), 0, DATEDIF(G153, I153, "m")+1)))</f>
        <v/>
      </c>
    </row>
    <row r="154" customFormat="false" ht="15" hidden="false" customHeight="false" outlineLevel="0" collapsed="false">
      <c r="F154" s="8"/>
      <c r="G154" s="10"/>
      <c r="I154" s="10"/>
      <c r="J154" s="8" t="str">
        <f aca="false">IF(A154="","",SUMIFS(Payments!C:C, Payments!B:B, A154))</f>
        <v/>
      </c>
      <c r="K154" s="0" t="str">
        <f aca="true">IF(A154="","",IF(H154="Active", DATEDIF(G154, TODAY(), "m")+1, IF(ISBLANK(I154), 0, DATEDIF(G154, I154, "m")+1)))</f>
        <v/>
      </c>
    </row>
    <row r="155" customFormat="false" ht="15" hidden="false" customHeight="false" outlineLevel="0" collapsed="false">
      <c r="F155" s="8"/>
      <c r="G155" s="10"/>
      <c r="I155" s="10"/>
      <c r="J155" s="8" t="str">
        <f aca="false">IF(A155="","",SUMIFS(Payments!C:C, Payments!B:B, A155))</f>
        <v/>
      </c>
      <c r="K155" s="0" t="str">
        <f aca="true">IF(A155="","",IF(H155="Active", DATEDIF(G155, TODAY(), "m")+1, IF(ISBLANK(I155), 0, DATEDIF(G155, I155, "m")+1)))</f>
        <v/>
      </c>
    </row>
    <row r="156" customFormat="false" ht="15" hidden="false" customHeight="false" outlineLevel="0" collapsed="false">
      <c r="F156" s="8"/>
      <c r="G156" s="10"/>
      <c r="I156" s="10"/>
      <c r="J156" s="8" t="str">
        <f aca="false">IF(A156="","",SUMIFS(Payments!C:C, Payments!B:B, A156))</f>
        <v/>
      </c>
      <c r="K156" s="0" t="str">
        <f aca="true">IF(A156="","",IF(H156="Active", DATEDIF(G156, TODAY(), "m")+1, IF(ISBLANK(I156), 0, DATEDIF(G156, I156, "m")+1)))</f>
        <v/>
      </c>
    </row>
    <row r="157" customFormat="false" ht="15" hidden="false" customHeight="false" outlineLevel="0" collapsed="false">
      <c r="F157" s="8"/>
      <c r="G157" s="10"/>
      <c r="I157" s="10"/>
      <c r="J157" s="8" t="str">
        <f aca="false">IF(A157="","",SUMIFS(Payments!C:C, Payments!B:B, A157))</f>
        <v/>
      </c>
      <c r="K157" s="0" t="str">
        <f aca="true">IF(A157="","",IF(H157="Active", DATEDIF(G157, TODAY(), "m")+1, IF(ISBLANK(I157), 0, DATEDIF(G157, I157, "m")+1)))</f>
        <v/>
      </c>
    </row>
    <row r="158" customFormat="false" ht="15" hidden="false" customHeight="false" outlineLevel="0" collapsed="false">
      <c r="F158" s="8"/>
      <c r="G158" s="10"/>
      <c r="I158" s="10"/>
      <c r="J158" s="8" t="str">
        <f aca="false">IF(A158="","",SUMIFS(Payments!C:C, Payments!B:B, A158))</f>
        <v/>
      </c>
      <c r="K158" s="0" t="str">
        <f aca="true">IF(A158="","",IF(H158="Active", DATEDIF(G158, TODAY(), "m")+1, IF(ISBLANK(I158), 0, DATEDIF(G158, I158, "m")+1)))</f>
        <v/>
      </c>
    </row>
    <row r="159" customFormat="false" ht="15" hidden="false" customHeight="false" outlineLevel="0" collapsed="false">
      <c r="F159" s="8"/>
      <c r="G159" s="10"/>
      <c r="I159" s="10"/>
      <c r="J159" s="8" t="str">
        <f aca="false">IF(A159="","",SUMIFS(Payments!C:C, Payments!B:B, A159))</f>
        <v/>
      </c>
      <c r="K159" s="0" t="str">
        <f aca="true">IF(A159="","",IF(H159="Active", DATEDIF(G159, TODAY(), "m")+1, IF(ISBLANK(I159), 0, DATEDIF(G159, I159, "m")+1)))</f>
        <v/>
      </c>
    </row>
    <row r="160" customFormat="false" ht="15" hidden="false" customHeight="false" outlineLevel="0" collapsed="false">
      <c r="F160" s="8"/>
      <c r="G160" s="10"/>
      <c r="I160" s="10"/>
      <c r="J160" s="8" t="str">
        <f aca="false">IF(A160="","",SUMIFS(Payments!C:C, Payments!B:B, A160))</f>
        <v/>
      </c>
      <c r="K160" s="0" t="str">
        <f aca="true">IF(A160="","",IF(H160="Active", DATEDIF(G160, TODAY(), "m")+1, IF(ISBLANK(I160), 0, DATEDIF(G160, I160, "m")+1)))</f>
        <v/>
      </c>
    </row>
    <row r="161" customFormat="false" ht="15" hidden="false" customHeight="false" outlineLevel="0" collapsed="false">
      <c r="F161" s="8"/>
      <c r="G161" s="10"/>
      <c r="I161" s="10"/>
      <c r="J161" s="8" t="str">
        <f aca="false">IF(A161="","",SUMIFS(Payments!C:C, Payments!B:B, A161))</f>
        <v/>
      </c>
      <c r="K161" s="0" t="str">
        <f aca="true">IF(A161="","",IF(H161="Active", DATEDIF(G161, TODAY(), "m")+1, IF(ISBLANK(I161), 0, DATEDIF(G161, I161, "m")+1)))</f>
        <v/>
      </c>
    </row>
    <row r="162" customFormat="false" ht="15" hidden="false" customHeight="false" outlineLevel="0" collapsed="false">
      <c r="F162" s="8"/>
      <c r="G162" s="10"/>
      <c r="I162" s="10"/>
      <c r="J162" s="8" t="str">
        <f aca="false">IF(A162="","",SUMIFS(Payments!C:C, Payments!B:B, A162))</f>
        <v/>
      </c>
      <c r="K162" s="0" t="str">
        <f aca="true">IF(A162="","",IF(H162="Active", DATEDIF(G162, TODAY(), "m")+1, IF(ISBLANK(I162), 0, DATEDIF(G162, I162, "m")+1)))</f>
        <v/>
      </c>
    </row>
    <row r="163" customFormat="false" ht="15" hidden="false" customHeight="false" outlineLevel="0" collapsed="false">
      <c r="F163" s="8"/>
      <c r="G163" s="10"/>
      <c r="I163" s="10"/>
      <c r="J163" s="8" t="str">
        <f aca="false">IF(A163="","",SUMIFS(Payments!C:C, Payments!B:B, A163))</f>
        <v/>
      </c>
      <c r="K163" s="0" t="str">
        <f aca="true">IF(A163="","",IF(H163="Active", DATEDIF(G163, TODAY(), "m")+1, IF(ISBLANK(I163), 0, DATEDIF(G163, I163, "m")+1)))</f>
        <v/>
      </c>
    </row>
    <row r="164" customFormat="false" ht="15" hidden="false" customHeight="false" outlineLevel="0" collapsed="false">
      <c r="F164" s="8"/>
      <c r="G164" s="10"/>
      <c r="I164" s="10"/>
      <c r="J164" s="8" t="str">
        <f aca="false">IF(A164="","",SUMIFS(Payments!C:C, Payments!B:B, A164))</f>
        <v/>
      </c>
      <c r="K164" s="0" t="str">
        <f aca="true">IF(A164="","",IF(H164="Active", DATEDIF(G164, TODAY(), "m")+1, IF(ISBLANK(I164), 0, DATEDIF(G164, I164, "m")+1)))</f>
        <v/>
      </c>
    </row>
    <row r="165" customFormat="false" ht="15" hidden="false" customHeight="false" outlineLevel="0" collapsed="false">
      <c r="F165" s="8"/>
      <c r="G165" s="10"/>
      <c r="I165" s="10"/>
      <c r="J165" s="8" t="str">
        <f aca="false">IF(A165="","",SUMIFS(Payments!C:C, Payments!B:B, A165))</f>
        <v/>
      </c>
      <c r="K165" s="0" t="str">
        <f aca="true">IF(A165="","",IF(H165="Active", DATEDIF(G165, TODAY(), "m")+1, IF(ISBLANK(I165), 0, DATEDIF(G165, I165, "m")+1)))</f>
        <v/>
      </c>
    </row>
    <row r="166" customFormat="false" ht="15" hidden="false" customHeight="false" outlineLevel="0" collapsed="false">
      <c r="F166" s="8"/>
      <c r="G166" s="10"/>
      <c r="I166" s="10"/>
      <c r="J166" s="8" t="str">
        <f aca="false">IF(A166="","",SUMIFS(Payments!C:C, Payments!B:B, A166))</f>
        <v/>
      </c>
      <c r="K166" s="0" t="str">
        <f aca="true">IF(A166="","",IF(H166="Active", DATEDIF(G166, TODAY(), "m")+1, IF(ISBLANK(I166), 0, DATEDIF(G166, I166, "m")+1)))</f>
        <v/>
      </c>
    </row>
    <row r="167" customFormat="false" ht="15" hidden="false" customHeight="false" outlineLevel="0" collapsed="false">
      <c r="F167" s="8"/>
      <c r="G167" s="10"/>
      <c r="I167" s="10"/>
      <c r="J167" s="8" t="str">
        <f aca="false">IF(A167="","",SUMIFS(Payments!C:C, Payments!B:B, A167))</f>
        <v/>
      </c>
      <c r="K167" s="0" t="str">
        <f aca="true">IF(A167="","",IF(H167="Active", DATEDIF(G167, TODAY(), "m")+1, IF(ISBLANK(I167), 0, DATEDIF(G167, I167, "m")+1)))</f>
        <v/>
      </c>
    </row>
    <row r="168" customFormat="false" ht="15" hidden="false" customHeight="false" outlineLevel="0" collapsed="false">
      <c r="F168" s="8"/>
      <c r="G168" s="10"/>
      <c r="I168" s="10"/>
      <c r="J168" s="8" t="str">
        <f aca="false">IF(A168="","",SUMIFS(Payments!C:C, Payments!B:B, A168))</f>
        <v/>
      </c>
      <c r="K168" s="0" t="str">
        <f aca="true">IF(A168="","",IF(H168="Active", DATEDIF(G168, TODAY(), "m")+1, IF(ISBLANK(I168), 0, DATEDIF(G168, I168, "m")+1)))</f>
        <v/>
      </c>
    </row>
    <row r="169" customFormat="false" ht="15" hidden="false" customHeight="false" outlineLevel="0" collapsed="false">
      <c r="F169" s="8"/>
      <c r="G169" s="10"/>
      <c r="I169" s="10"/>
      <c r="J169" s="8" t="str">
        <f aca="false">IF(A169="","",SUMIFS(Payments!C:C, Payments!B:B, A169))</f>
        <v/>
      </c>
      <c r="K169" s="0" t="str">
        <f aca="true">IF(A169="","",IF(H169="Active", DATEDIF(G169, TODAY(), "m")+1, IF(ISBLANK(I169), 0, DATEDIF(G169, I169, "m")+1)))</f>
        <v/>
      </c>
    </row>
    <row r="170" customFormat="false" ht="15" hidden="false" customHeight="false" outlineLevel="0" collapsed="false">
      <c r="F170" s="8"/>
      <c r="G170" s="10"/>
      <c r="I170" s="10"/>
      <c r="J170" s="8" t="str">
        <f aca="false">IF(A170="","",SUMIFS(Payments!C:C, Payments!B:B, A170))</f>
        <v/>
      </c>
      <c r="K170" s="0" t="str">
        <f aca="true">IF(A170="","",IF(H170="Active", DATEDIF(G170, TODAY(), "m")+1, IF(ISBLANK(I170), 0, DATEDIF(G170, I170, "m")+1)))</f>
        <v/>
      </c>
    </row>
    <row r="171" customFormat="false" ht="15" hidden="false" customHeight="false" outlineLevel="0" collapsed="false">
      <c r="F171" s="8"/>
      <c r="G171" s="10"/>
      <c r="I171" s="10"/>
      <c r="J171" s="8" t="str">
        <f aca="false">IF(A171="","",SUMIFS(Payments!C:C, Payments!B:B, A171))</f>
        <v/>
      </c>
      <c r="K171" s="0" t="str">
        <f aca="true">IF(A171="","",IF(H171="Active", DATEDIF(G171, TODAY(), "m")+1, IF(ISBLANK(I171), 0, DATEDIF(G171, I171, "m")+1)))</f>
        <v/>
      </c>
    </row>
    <row r="172" customFormat="false" ht="15" hidden="false" customHeight="false" outlineLevel="0" collapsed="false">
      <c r="F172" s="8"/>
      <c r="G172" s="10"/>
      <c r="I172" s="10"/>
      <c r="J172" s="8" t="str">
        <f aca="false">IF(A172="","",SUMIFS(Payments!C:C, Payments!B:B, A172))</f>
        <v/>
      </c>
      <c r="K172" s="0" t="str">
        <f aca="true">IF(A172="","",IF(H172="Active", DATEDIF(G172, TODAY(), "m")+1, IF(ISBLANK(I172), 0, DATEDIF(G172, I172, "m")+1)))</f>
        <v/>
      </c>
    </row>
    <row r="173" customFormat="false" ht="15" hidden="false" customHeight="false" outlineLevel="0" collapsed="false">
      <c r="F173" s="8"/>
      <c r="G173" s="10"/>
      <c r="I173" s="10"/>
      <c r="J173" s="8" t="str">
        <f aca="false">IF(A173="","",SUMIFS(Payments!C:C, Payments!B:B, A173))</f>
        <v/>
      </c>
      <c r="K173" s="0" t="str">
        <f aca="true">IF(A173="","",IF(H173="Active", DATEDIF(G173, TODAY(), "m")+1, IF(ISBLANK(I173), 0, DATEDIF(G173, I173, "m")+1)))</f>
        <v/>
      </c>
    </row>
    <row r="174" customFormat="false" ht="15" hidden="false" customHeight="false" outlineLevel="0" collapsed="false">
      <c r="F174" s="8"/>
      <c r="G174" s="10"/>
      <c r="I174" s="10"/>
      <c r="J174" s="8" t="str">
        <f aca="false">IF(A174="","",SUMIFS(Payments!C:C, Payments!B:B, A174))</f>
        <v/>
      </c>
      <c r="K174" s="0" t="str">
        <f aca="true">IF(A174="","",IF(H174="Active", DATEDIF(G174, TODAY(), "m")+1, IF(ISBLANK(I174), 0, DATEDIF(G174, I174, "m")+1)))</f>
        <v/>
      </c>
    </row>
    <row r="175" customFormat="false" ht="15" hidden="false" customHeight="false" outlineLevel="0" collapsed="false">
      <c r="F175" s="8"/>
      <c r="G175" s="10"/>
      <c r="I175" s="10"/>
      <c r="J175" s="8" t="str">
        <f aca="false">IF(A175="","",SUMIFS(Payments!C:C, Payments!B:B, A175))</f>
        <v/>
      </c>
      <c r="K175" s="0" t="str">
        <f aca="true">IF(A175="","",IF(H175="Active", DATEDIF(G175, TODAY(), "m")+1, IF(ISBLANK(I175), 0, DATEDIF(G175, I175, "m")+1)))</f>
        <v/>
      </c>
    </row>
    <row r="176" customFormat="false" ht="15" hidden="false" customHeight="false" outlineLevel="0" collapsed="false">
      <c r="F176" s="8"/>
      <c r="G176" s="10"/>
      <c r="I176" s="10"/>
      <c r="J176" s="8" t="str">
        <f aca="false">IF(A176="","",SUMIFS(Payments!C:C, Payments!B:B, A176))</f>
        <v/>
      </c>
      <c r="K176" s="0" t="str">
        <f aca="true">IF(A176="","",IF(H176="Active", DATEDIF(G176, TODAY(), "m")+1, IF(ISBLANK(I176), 0, DATEDIF(G176, I176, "m")+1)))</f>
        <v/>
      </c>
    </row>
    <row r="177" customFormat="false" ht="15" hidden="false" customHeight="false" outlineLevel="0" collapsed="false">
      <c r="F177" s="8"/>
      <c r="G177" s="10"/>
      <c r="I177" s="10"/>
      <c r="J177" s="8" t="str">
        <f aca="false">IF(A177="","",SUMIFS(Payments!C:C, Payments!B:B, A177))</f>
        <v/>
      </c>
      <c r="K177" s="0" t="str">
        <f aca="true">IF(A177="","",IF(H177="Active", DATEDIF(G177, TODAY(), "m")+1, IF(ISBLANK(I177), 0, DATEDIF(G177, I177, "m")+1)))</f>
        <v/>
      </c>
    </row>
    <row r="178" customFormat="false" ht="15" hidden="false" customHeight="false" outlineLevel="0" collapsed="false">
      <c r="F178" s="8"/>
      <c r="G178" s="10"/>
      <c r="I178" s="10"/>
      <c r="J178" s="8" t="str">
        <f aca="false">IF(A178="","",SUMIFS(Payments!C:C, Payments!B:B, A178))</f>
        <v/>
      </c>
      <c r="K178" s="0" t="str">
        <f aca="true">IF(A178="","",IF(H178="Active", DATEDIF(G178, TODAY(), "m")+1, IF(ISBLANK(I178), 0, DATEDIF(G178, I178, "m")+1)))</f>
        <v/>
      </c>
    </row>
    <row r="179" customFormat="false" ht="15" hidden="false" customHeight="false" outlineLevel="0" collapsed="false">
      <c r="F179" s="8"/>
      <c r="G179" s="10"/>
      <c r="I179" s="10"/>
      <c r="J179" s="8" t="str">
        <f aca="false">IF(A179="","",SUMIFS(Payments!C:C, Payments!B:B, A179))</f>
        <v/>
      </c>
      <c r="K179" s="0" t="str">
        <f aca="true">IF(A179="","",IF(H179="Active", DATEDIF(G179, TODAY(), "m")+1, IF(ISBLANK(I179), 0, DATEDIF(G179, I179, "m")+1)))</f>
        <v/>
      </c>
    </row>
    <row r="180" customFormat="false" ht="15" hidden="false" customHeight="false" outlineLevel="0" collapsed="false">
      <c r="F180" s="8"/>
      <c r="G180" s="10"/>
      <c r="I180" s="10"/>
      <c r="J180" s="8" t="str">
        <f aca="false">IF(A180="","",SUMIFS(Payments!C:C, Payments!B:B, A180))</f>
        <v/>
      </c>
      <c r="K180" s="0" t="str">
        <f aca="true">IF(A180="","",IF(H180="Active", DATEDIF(G180, TODAY(), "m")+1, IF(ISBLANK(I180), 0, DATEDIF(G180, I180, "m")+1)))</f>
        <v/>
      </c>
    </row>
    <row r="181" customFormat="false" ht="15" hidden="false" customHeight="false" outlineLevel="0" collapsed="false">
      <c r="F181" s="8"/>
      <c r="G181" s="10"/>
      <c r="I181" s="10"/>
      <c r="J181" s="8" t="str">
        <f aca="false">IF(A181="","",SUMIFS(Payments!C:C, Payments!B:B, A181))</f>
        <v/>
      </c>
      <c r="K181" s="0" t="str">
        <f aca="true">IF(A181="","",IF(H181="Active", DATEDIF(G181, TODAY(), "m")+1, IF(ISBLANK(I181), 0, DATEDIF(G181, I181, "m")+1)))</f>
        <v/>
      </c>
    </row>
    <row r="182" customFormat="false" ht="15" hidden="false" customHeight="false" outlineLevel="0" collapsed="false">
      <c r="F182" s="8"/>
      <c r="G182" s="10"/>
      <c r="I182" s="10"/>
      <c r="J182" s="8" t="str">
        <f aca="false">IF(A182="","",SUMIFS(Payments!C:C, Payments!B:B, A182))</f>
        <v/>
      </c>
      <c r="K182" s="0" t="str">
        <f aca="true">IF(A182="","",IF(H182="Active", DATEDIF(G182, TODAY(), "m")+1, IF(ISBLANK(I182), 0, DATEDIF(G182, I182, "m")+1)))</f>
        <v/>
      </c>
    </row>
    <row r="183" customFormat="false" ht="15" hidden="false" customHeight="false" outlineLevel="0" collapsed="false">
      <c r="F183" s="8"/>
      <c r="G183" s="10"/>
      <c r="I183" s="10"/>
      <c r="J183" s="8" t="str">
        <f aca="false">IF(A183="","",SUMIFS(Payments!C:C, Payments!B:B, A183))</f>
        <v/>
      </c>
      <c r="K183" s="0" t="str">
        <f aca="true">IF(A183="","",IF(H183="Active", DATEDIF(G183, TODAY(), "m")+1, IF(ISBLANK(I183), 0, DATEDIF(G183, I183, "m")+1)))</f>
        <v/>
      </c>
    </row>
    <row r="184" customFormat="false" ht="15" hidden="false" customHeight="false" outlineLevel="0" collapsed="false">
      <c r="F184" s="8"/>
      <c r="G184" s="10"/>
      <c r="I184" s="10"/>
      <c r="J184" s="8" t="str">
        <f aca="false">IF(A184="","",SUMIFS(Payments!C:C, Payments!B:B, A184))</f>
        <v/>
      </c>
      <c r="K184" s="0" t="str">
        <f aca="true">IF(A184="","",IF(H184="Active", DATEDIF(G184, TODAY(), "m")+1, IF(ISBLANK(I184), 0, DATEDIF(G184, I184, "m")+1)))</f>
        <v/>
      </c>
    </row>
    <row r="185" customFormat="false" ht="15" hidden="false" customHeight="false" outlineLevel="0" collapsed="false">
      <c r="F185" s="8"/>
      <c r="G185" s="10"/>
      <c r="I185" s="10"/>
      <c r="J185" s="8" t="str">
        <f aca="false">IF(A185="","",SUMIFS(Payments!C:C, Payments!B:B, A185))</f>
        <v/>
      </c>
      <c r="K185" s="0" t="str">
        <f aca="true">IF(A185="","",IF(H185="Active", DATEDIF(G185, TODAY(), "m")+1, IF(ISBLANK(I185), 0, DATEDIF(G185, I185, "m")+1)))</f>
        <v/>
      </c>
    </row>
    <row r="186" customFormat="false" ht="15" hidden="false" customHeight="false" outlineLevel="0" collapsed="false">
      <c r="F186" s="8"/>
      <c r="G186" s="10"/>
      <c r="I186" s="10"/>
      <c r="J186" s="8" t="str">
        <f aca="false">IF(A186="","",SUMIFS(Payments!C:C, Payments!B:B, A186))</f>
        <v/>
      </c>
      <c r="K186" s="0" t="str">
        <f aca="true">IF(A186="","",IF(H186="Active", DATEDIF(G186, TODAY(), "m")+1, IF(ISBLANK(I186), 0, DATEDIF(G186, I186, "m")+1)))</f>
        <v/>
      </c>
    </row>
    <row r="187" customFormat="false" ht="15" hidden="false" customHeight="false" outlineLevel="0" collapsed="false">
      <c r="F187" s="8"/>
      <c r="G187" s="10"/>
      <c r="I187" s="10"/>
      <c r="J187" s="8" t="str">
        <f aca="false">IF(A187="","",SUMIFS(Payments!C:C, Payments!B:B, A187))</f>
        <v/>
      </c>
      <c r="K187" s="0" t="str">
        <f aca="true">IF(A187="","",IF(H187="Active", DATEDIF(G187, TODAY(), "m")+1, IF(ISBLANK(I187), 0, DATEDIF(G187, I187, "m")+1)))</f>
        <v/>
      </c>
    </row>
    <row r="188" customFormat="false" ht="15" hidden="false" customHeight="false" outlineLevel="0" collapsed="false">
      <c r="F188" s="8"/>
      <c r="G188" s="10"/>
      <c r="I188" s="10"/>
      <c r="J188" s="8" t="str">
        <f aca="false">IF(A188="","",SUMIFS(Payments!C:C, Payments!B:B, A188))</f>
        <v/>
      </c>
      <c r="K188" s="0" t="str">
        <f aca="true">IF(A188="","",IF(H188="Active", DATEDIF(G188, TODAY(), "m")+1, IF(ISBLANK(I188), 0, DATEDIF(G188, I188, "m")+1)))</f>
        <v/>
      </c>
    </row>
    <row r="189" customFormat="false" ht="15" hidden="false" customHeight="false" outlineLevel="0" collapsed="false">
      <c r="F189" s="8"/>
      <c r="G189" s="10"/>
      <c r="I189" s="10"/>
      <c r="J189" s="8" t="str">
        <f aca="false">IF(A189="","",SUMIFS(Payments!C:C, Payments!B:B, A189))</f>
        <v/>
      </c>
      <c r="K189" s="0" t="str">
        <f aca="true">IF(A189="","",IF(H189="Active", DATEDIF(G189, TODAY(), "m")+1, IF(ISBLANK(I189), 0, DATEDIF(G189, I189, "m")+1)))</f>
        <v/>
      </c>
    </row>
    <row r="190" customFormat="false" ht="15" hidden="false" customHeight="false" outlineLevel="0" collapsed="false">
      <c r="F190" s="8"/>
      <c r="G190" s="10"/>
      <c r="I190" s="10"/>
      <c r="J190" s="8" t="str">
        <f aca="false">IF(A190="","",SUMIFS(Payments!C:C, Payments!B:B, A190))</f>
        <v/>
      </c>
      <c r="K190" s="0" t="str">
        <f aca="true">IF(A190="","",IF(H190="Active", DATEDIF(G190, TODAY(), "m")+1, IF(ISBLANK(I190), 0, DATEDIF(G190, I190, "m")+1)))</f>
        <v/>
      </c>
    </row>
    <row r="191" customFormat="false" ht="15" hidden="false" customHeight="false" outlineLevel="0" collapsed="false">
      <c r="F191" s="8"/>
      <c r="G191" s="10"/>
      <c r="I191" s="10"/>
      <c r="J191" s="8" t="str">
        <f aca="false">IF(A191="","",SUMIFS(Payments!C:C, Payments!B:B, A191))</f>
        <v/>
      </c>
      <c r="K191" s="0" t="str">
        <f aca="true">IF(A191="","",IF(H191="Active", DATEDIF(G191, TODAY(), "m")+1, IF(ISBLANK(I191), 0, DATEDIF(G191, I191, "m")+1)))</f>
        <v/>
      </c>
    </row>
    <row r="192" customFormat="false" ht="15" hidden="false" customHeight="false" outlineLevel="0" collapsed="false">
      <c r="F192" s="8"/>
      <c r="G192" s="10"/>
      <c r="I192" s="10"/>
      <c r="J192" s="8" t="str">
        <f aca="false">IF(A192="","",SUMIFS(Payments!C:C, Payments!B:B, A192))</f>
        <v/>
      </c>
      <c r="K192" s="0" t="str">
        <f aca="true">IF(A192="","",IF(H192="Active", DATEDIF(G192, TODAY(), "m")+1, IF(ISBLANK(I192), 0, DATEDIF(G192, I192, "m")+1)))</f>
        <v/>
      </c>
    </row>
    <row r="193" customFormat="false" ht="15" hidden="false" customHeight="false" outlineLevel="0" collapsed="false">
      <c r="F193" s="8"/>
      <c r="G193" s="10"/>
      <c r="I193" s="10"/>
      <c r="J193" s="8" t="str">
        <f aca="false">IF(A193="","",SUMIFS(Payments!C:C, Payments!B:B, A193))</f>
        <v/>
      </c>
      <c r="K193" s="0" t="str">
        <f aca="true">IF(A193="","",IF(H193="Active", DATEDIF(G193, TODAY(), "m")+1, IF(ISBLANK(I193), 0, DATEDIF(G193, I193, "m")+1)))</f>
        <v/>
      </c>
    </row>
    <row r="194" customFormat="false" ht="15" hidden="false" customHeight="false" outlineLevel="0" collapsed="false">
      <c r="F194" s="8"/>
      <c r="G194" s="10"/>
      <c r="I194" s="10"/>
      <c r="J194" s="8" t="str">
        <f aca="false">IF(A194="","",SUMIFS(Payments!C:C, Payments!B:B, A194))</f>
        <v/>
      </c>
      <c r="K194" s="0" t="str">
        <f aca="true">IF(A194="","",IF(H194="Active", DATEDIF(G194, TODAY(), "m")+1, IF(ISBLANK(I194), 0, DATEDIF(G194, I194, "m")+1)))</f>
        <v/>
      </c>
    </row>
    <row r="195" customFormat="false" ht="15" hidden="false" customHeight="false" outlineLevel="0" collapsed="false">
      <c r="F195" s="8"/>
      <c r="G195" s="10"/>
      <c r="I195" s="10"/>
      <c r="J195" s="8" t="str">
        <f aca="false">IF(A195="","",SUMIFS(Payments!C:C, Payments!B:B, A195))</f>
        <v/>
      </c>
      <c r="K195" s="0" t="str">
        <f aca="true">IF(A195="","",IF(H195="Active", DATEDIF(G195, TODAY(), "m")+1, IF(ISBLANK(I195), 0, DATEDIF(G195, I195, "m")+1)))</f>
        <v/>
      </c>
    </row>
    <row r="196" customFormat="false" ht="15" hidden="false" customHeight="false" outlineLevel="0" collapsed="false">
      <c r="F196" s="8"/>
      <c r="G196" s="10"/>
      <c r="I196" s="10"/>
      <c r="J196" s="8" t="str">
        <f aca="false">IF(A196="","",SUMIFS(Payments!C:C, Payments!B:B, A196))</f>
        <v/>
      </c>
      <c r="K196" s="0" t="str">
        <f aca="true">IF(A196="","",IF(H196="Active", DATEDIF(G196, TODAY(), "m")+1, IF(ISBLANK(I196), 0, DATEDIF(G196, I196, "m")+1)))</f>
        <v/>
      </c>
    </row>
    <row r="197" customFormat="false" ht="15" hidden="false" customHeight="false" outlineLevel="0" collapsed="false">
      <c r="F197" s="8"/>
      <c r="G197" s="10"/>
      <c r="I197" s="10"/>
      <c r="J197" s="8" t="str">
        <f aca="false">IF(A197="","",SUMIFS(Payments!C:C, Payments!B:B, A197))</f>
        <v/>
      </c>
      <c r="K197" s="0" t="str">
        <f aca="true">IF(A197="","",IF(H197="Active", DATEDIF(G197, TODAY(), "m")+1, IF(ISBLANK(I197), 0, DATEDIF(G197, I197, "m")+1)))</f>
        <v/>
      </c>
    </row>
    <row r="198" customFormat="false" ht="15" hidden="false" customHeight="false" outlineLevel="0" collapsed="false">
      <c r="F198" s="8"/>
      <c r="G198" s="10"/>
      <c r="I198" s="10"/>
      <c r="J198" s="8" t="str">
        <f aca="false">IF(A198="","",SUMIFS(Payments!C:C, Payments!B:B, A198))</f>
        <v/>
      </c>
      <c r="K198" s="0" t="str">
        <f aca="true">IF(A198="","",IF(H198="Active", DATEDIF(G198, TODAY(), "m")+1, IF(ISBLANK(I198), 0, DATEDIF(G198, I198, "m")+1)))</f>
        <v/>
      </c>
    </row>
    <row r="199" customFormat="false" ht="15" hidden="false" customHeight="false" outlineLevel="0" collapsed="false">
      <c r="F199" s="8"/>
      <c r="G199" s="10"/>
      <c r="I199" s="10"/>
      <c r="J199" s="8" t="str">
        <f aca="false">IF(A199="","",SUMIFS(Payments!C:C, Payments!B:B, A199))</f>
        <v/>
      </c>
      <c r="K199" s="0" t="str">
        <f aca="true">IF(A199="","",IF(H199="Active", DATEDIF(G199, TODAY(), "m")+1, IF(ISBLANK(I199), 0, DATEDIF(G199, I199, "m")+1)))</f>
        <v/>
      </c>
    </row>
    <row r="200" customFormat="false" ht="15" hidden="false" customHeight="false" outlineLevel="0" collapsed="false">
      <c r="F200" s="8"/>
      <c r="G200" s="10"/>
      <c r="I200" s="10"/>
      <c r="J200" s="8" t="str">
        <f aca="false">IF(A200="","",SUMIFS(Payments!C:C, Payments!B:B, A200))</f>
        <v/>
      </c>
      <c r="K200" s="0" t="str">
        <f aca="true">IF(A200="","",IF(H200="Active", DATEDIF(G200, TODAY(), "m")+1, IF(ISBLANK(I200), 0, DATEDIF(G200, I200, "m")+1)))</f>
        <v/>
      </c>
    </row>
    <row r="203" customFormat="false" ht="15" hidden="false" customHeight="false" outlineLevel="0" collapsed="false">
      <c r="A203" s="1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38</v>
      </c>
      <c r="B1" s="4" t="s">
        <v>18</v>
      </c>
      <c r="C1" s="4" t="s">
        <v>39</v>
      </c>
      <c r="D1" s="4" t="s">
        <v>40</v>
      </c>
      <c r="E1" s="4" t="s">
        <v>41</v>
      </c>
      <c r="F1" s="4" t="s">
        <v>29</v>
      </c>
    </row>
    <row r="2" customFormat="false" ht="15" hidden="false" customHeight="false" outlineLevel="0" collapsed="false">
      <c r="A2" s="7" t="n">
        <v>46223</v>
      </c>
      <c r="B2" s="5" t="s">
        <v>30</v>
      </c>
      <c r="C2" s="6" t="n">
        <v>150</v>
      </c>
      <c r="D2" s="5" t="s">
        <v>42</v>
      </c>
      <c r="E2" s="5" t="s">
        <v>43</v>
      </c>
      <c r="F2" s="5" t="s">
        <v>44</v>
      </c>
    </row>
    <row r="3" customFormat="false" ht="15" hidden="false" customHeight="false" outlineLevel="0" collapsed="false">
      <c r="A3" s="10"/>
      <c r="C3" s="8"/>
    </row>
    <row r="4" customFormat="false" ht="15" hidden="false" customHeight="false" outlineLevel="0" collapsed="false">
      <c r="A4" s="10"/>
      <c r="C4" s="8"/>
    </row>
    <row r="5" customFormat="false" ht="15" hidden="false" customHeight="false" outlineLevel="0" collapsed="false">
      <c r="A5" s="10"/>
      <c r="C5" s="8"/>
    </row>
    <row r="6" customFormat="false" ht="15" hidden="false" customHeight="false" outlineLevel="0" collapsed="false">
      <c r="A6" s="10"/>
      <c r="C6" s="8"/>
    </row>
    <row r="7" customFormat="false" ht="15" hidden="false" customHeight="false" outlineLevel="0" collapsed="false">
      <c r="A7" s="10"/>
      <c r="C7" s="8"/>
    </row>
    <row r="8" customFormat="false" ht="15" hidden="false" customHeight="false" outlineLevel="0" collapsed="false">
      <c r="A8" s="10"/>
      <c r="C8" s="8"/>
    </row>
    <row r="9" customFormat="false" ht="15" hidden="false" customHeight="false" outlineLevel="0" collapsed="false">
      <c r="A9" s="10"/>
      <c r="C9" s="8"/>
    </row>
    <row r="10" customFormat="false" ht="15" hidden="false" customHeight="false" outlineLevel="0" collapsed="false">
      <c r="A10" s="10"/>
      <c r="C10" s="8"/>
    </row>
    <row r="11" customFormat="false" ht="15" hidden="false" customHeight="false" outlineLevel="0" collapsed="false">
      <c r="A11" s="10"/>
      <c r="C11" s="8"/>
    </row>
    <row r="12" customFormat="false" ht="15" hidden="false" customHeight="false" outlineLevel="0" collapsed="false">
      <c r="A12" s="10"/>
      <c r="C12" s="8"/>
    </row>
    <row r="13" customFormat="false" ht="15" hidden="false" customHeight="false" outlineLevel="0" collapsed="false">
      <c r="A13" s="10"/>
      <c r="C13" s="8"/>
    </row>
    <row r="14" customFormat="false" ht="15" hidden="false" customHeight="false" outlineLevel="0" collapsed="false">
      <c r="A14" s="10"/>
      <c r="C14" s="8"/>
    </row>
    <row r="15" customFormat="false" ht="15" hidden="false" customHeight="false" outlineLevel="0" collapsed="false">
      <c r="A15" s="10"/>
      <c r="C15" s="8"/>
    </row>
    <row r="16" customFormat="false" ht="15" hidden="false" customHeight="false" outlineLevel="0" collapsed="false">
      <c r="A16" s="10"/>
      <c r="C16" s="8"/>
    </row>
    <row r="17" customFormat="false" ht="15" hidden="false" customHeight="false" outlineLevel="0" collapsed="false">
      <c r="A17" s="10"/>
      <c r="C17" s="8"/>
    </row>
    <row r="18" customFormat="false" ht="15" hidden="false" customHeight="false" outlineLevel="0" collapsed="false">
      <c r="A18" s="10"/>
      <c r="C18" s="8"/>
    </row>
    <row r="19" customFormat="false" ht="15" hidden="false" customHeight="false" outlineLevel="0" collapsed="false">
      <c r="A19" s="10"/>
      <c r="C19" s="8"/>
    </row>
    <row r="20" customFormat="false" ht="15" hidden="false" customHeight="false" outlineLevel="0" collapsed="false">
      <c r="A20" s="10"/>
      <c r="C20" s="8"/>
    </row>
    <row r="21" customFormat="false" ht="15" hidden="false" customHeight="false" outlineLevel="0" collapsed="false">
      <c r="A21" s="10"/>
      <c r="C21" s="8"/>
    </row>
    <row r="22" customFormat="false" ht="15" hidden="false" customHeight="false" outlineLevel="0" collapsed="false">
      <c r="A22" s="10"/>
      <c r="C22" s="8"/>
    </row>
    <row r="23" customFormat="false" ht="15" hidden="false" customHeight="false" outlineLevel="0" collapsed="false">
      <c r="A23" s="10"/>
      <c r="C23" s="8"/>
    </row>
    <row r="24" customFormat="false" ht="15" hidden="false" customHeight="false" outlineLevel="0" collapsed="false">
      <c r="A24" s="10"/>
      <c r="C24" s="8"/>
    </row>
    <row r="25" customFormat="false" ht="15" hidden="false" customHeight="false" outlineLevel="0" collapsed="false">
      <c r="A25" s="10"/>
      <c r="C25" s="8"/>
    </row>
    <row r="26" customFormat="false" ht="15" hidden="false" customHeight="false" outlineLevel="0" collapsed="false">
      <c r="A26" s="10"/>
      <c r="C26" s="8"/>
    </row>
    <row r="27" customFormat="false" ht="15" hidden="false" customHeight="false" outlineLevel="0" collapsed="false">
      <c r="A27" s="10"/>
      <c r="C27" s="8"/>
    </row>
    <row r="28" customFormat="false" ht="15" hidden="false" customHeight="false" outlineLevel="0" collapsed="false">
      <c r="A28" s="10"/>
      <c r="C28" s="8"/>
    </row>
    <row r="29" customFormat="false" ht="15" hidden="false" customHeight="false" outlineLevel="0" collapsed="false">
      <c r="A29" s="10"/>
      <c r="C29" s="8"/>
    </row>
    <row r="30" customFormat="false" ht="15" hidden="false" customHeight="false" outlineLevel="0" collapsed="false">
      <c r="A30" s="10"/>
      <c r="C30" s="8"/>
    </row>
    <row r="31" customFormat="false" ht="15" hidden="false" customHeight="false" outlineLevel="0" collapsed="false">
      <c r="A31" s="10"/>
      <c r="C31" s="8"/>
    </row>
    <row r="32" customFormat="false" ht="15" hidden="false" customHeight="false" outlineLevel="0" collapsed="false">
      <c r="A32" s="10"/>
      <c r="C32" s="8"/>
    </row>
    <row r="33" customFormat="false" ht="15" hidden="false" customHeight="false" outlineLevel="0" collapsed="false">
      <c r="A33" s="10"/>
      <c r="C33" s="8"/>
    </row>
    <row r="34" customFormat="false" ht="15" hidden="false" customHeight="false" outlineLevel="0" collapsed="false">
      <c r="A34" s="10"/>
      <c r="C34" s="8"/>
    </row>
    <row r="35" customFormat="false" ht="15" hidden="false" customHeight="false" outlineLevel="0" collapsed="false">
      <c r="A35" s="10"/>
      <c r="C35" s="8"/>
    </row>
    <row r="36" customFormat="false" ht="15" hidden="false" customHeight="false" outlineLevel="0" collapsed="false">
      <c r="A36" s="10"/>
      <c r="C36" s="8"/>
    </row>
    <row r="37" customFormat="false" ht="15" hidden="false" customHeight="false" outlineLevel="0" collapsed="false">
      <c r="A37" s="10"/>
      <c r="C37" s="8"/>
    </row>
    <row r="38" customFormat="false" ht="15" hidden="false" customHeight="false" outlineLevel="0" collapsed="false">
      <c r="A38" s="10"/>
      <c r="C38" s="8"/>
    </row>
    <row r="39" customFormat="false" ht="15" hidden="false" customHeight="false" outlineLevel="0" collapsed="false">
      <c r="A39" s="10"/>
      <c r="C39" s="8"/>
    </row>
    <row r="40" customFormat="false" ht="15" hidden="false" customHeight="false" outlineLevel="0" collapsed="false">
      <c r="A40" s="10"/>
      <c r="C40" s="8"/>
    </row>
    <row r="41" customFormat="false" ht="15" hidden="false" customHeight="false" outlineLevel="0" collapsed="false">
      <c r="A41" s="10"/>
      <c r="C41" s="8"/>
    </row>
    <row r="42" customFormat="false" ht="15" hidden="false" customHeight="false" outlineLevel="0" collapsed="false">
      <c r="A42" s="10"/>
      <c r="C42" s="8"/>
    </row>
    <row r="43" customFormat="false" ht="15" hidden="false" customHeight="false" outlineLevel="0" collapsed="false">
      <c r="A43" s="10"/>
      <c r="C43" s="8"/>
    </row>
    <row r="44" customFormat="false" ht="15" hidden="false" customHeight="false" outlineLevel="0" collapsed="false">
      <c r="A44" s="10"/>
      <c r="C44" s="8"/>
    </row>
    <row r="45" customFormat="false" ht="15" hidden="false" customHeight="false" outlineLevel="0" collapsed="false">
      <c r="A45" s="10"/>
      <c r="C45" s="8"/>
    </row>
    <row r="46" customFormat="false" ht="15" hidden="false" customHeight="false" outlineLevel="0" collapsed="false">
      <c r="A46" s="10"/>
      <c r="C46" s="8"/>
    </row>
    <row r="47" customFormat="false" ht="15" hidden="false" customHeight="false" outlineLevel="0" collapsed="false">
      <c r="A47" s="10"/>
      <c r="C47" s="8"/>
    </row>
    <row r="48" customFormat="false" ht="15" hidden="false" customHeight="false" outlineLevel="0" collapsed="false">
      <c r="A48" s="10"/>
      <c r="C48" s="8"/>
    </row>
    <row r="49" customFormat="false" ht="15" hidden="false" customHeight="false" outlineLevel="0" collapsed="false">
      <c r="A49" s="10"/>
      <c r="C49" s="8"/>
    </row>
    <row r="50" customFormat="false" ht="15" hidden="false" customHeight="false" outlineLevel="0" collapsed="false">
      <c r="A50" s="10"/>
      <c r="C50" s="8"/>
    </row>
    <row r="51" customFormat="false" ht="15" hidden="false" customHeight="false" outlineLevel="0" collapsed="false">
      <c r="A51" s="10"/>
      <c r="C51" s="8"/>
    </row>
    <row r="52" customFormat="false" ht="15" hidden="false" customHeight="false" outlineLevel="0" collapsed="false">
      <c r="A52" s="10"/>
      <c r="C52" s="8"/>
    </row>
    <row r="53" customFormat="false" ht="15" hidden="false" customHeight="false" outlineLevel="0" collapsed="false">
      <c r="A53" s="10"/>
      <c r="C53" s="8"/>
    </row>
    <row r="54" customFormat="false" ht="15" hidden="false" customHeight="false" outlineLevel="0" collapsed="false">
      <c r="A54" s="10"/>
      <c r="C54" s="8"/>
    </row>
    <row r="55" customFormat="false" ht="15" hidden="false" customHeight="false" outlineLevel="0" collapsed="false">
      <c r="A55" s="10"/>
      <c r="C55" s="8"/>
    </row>
    <row r="56" customFormat="false" ht="15" hidden="false" customHeight="false" outlineLevel="0" collapsed="false">
      <c r="A56" s="10"/>
      <c r="C56" s="8"/>
    </row>
    <row r="57" customFormat="false" ht="15" hidden="false" customHeight="false" outlineLevel="0" collapsed="false">
      <c r="A57" s="10"/>
      <c r="C57" s="8"/>
    </row>
    <row r="58" customFormat="false" ht="15" hidden="false" customHeight="false" outlineLevel="0" collapsed="false">
      <c r="A58" s="10"/>
      <c r="C58" s="8"/>
    </row>
    <row r="59" customFormat="false" ht="15" hidden="false" customHeight="false" outlineLevel="0" collapsed="false">
      <c r="A59" s="10"/>
      <c r="C59" s="8"/>
    </row>
    <row r="60" customFormat="false" ht="15" hidden="false" customHeight="false" outlineLevel="0" collapsed="false">
      <c r="A60" s="10"/>
      <c r="C60" s="8"/>
    </row>
    <row r="61" customFormat="false" ht="15" hidden="false" customHeight="false" outlineLevel="0" collapsed="false">
      <c r="A61" s="10"/>
      <c r="C61" s="8"/>
    </row>
    <row r="62" customFormat="false" ht="15" hidden="false" customHeight="false" outlineLevel="0" collapsed="false">
      <c r="A62" s="10"/>
      <c r="C62" s="8"/>
    </row>
    <row r="63" customFormat="false" ht="15" hidden="false" customHeight="false" outlineLevel="0" collapsed="false">
      <c r="A63" s="10"/>
      <c r="C63" s="8"/>
    </row>
    <row r="64" customFormat="false" ht="15" hidden="false" customHeight="false" outlineLevel="0" collapsed="false">
      <c r="A64" s="10"/>
      <c r="C64" s="8"/>
    </row>
    <row r="65" customFormat="false" ht="15" hidden="false" customHeight="false" outlineLevel="0" collapsed="false">
      <c r="A65" s="10"/>
      <c r="C65" s="8"/>
    </row>
    <row r="66" customFormat="false" ht="15" hidden="false" customHeight="false" outlineLevel="0" collapsed="false">
      <c r="A66" s="10"/>
      <c r="C66" s="8"/>
    </row>
    <row r="67" customFormat="false" ht="15" hidden="false" customHeight="false" outlineLevel="0" collapsed="false">
      <c r="A67" s="10"/>
      <c r="C67" s="8"/>
    </row>
    <row r="68" customFormat="false" ht="15" hidden="false" customHeight="false" outlineLevel="0" collapsed="false">
      <c r="A68" s="10"/>
      <c r="C68" s="8"/>
    </row>
    <row r="69" customFormat="false" ht="15" hidden="false" customHeight="false" outlineLevel="0" collapsed="false">
      <c r="A69" s="10"/>
      <c r="C69" s="8"/>
    </row>
    <row r="70" customFormat="false" ht="15" hidden="false" customHeight="false" outlineLevel="0" collapsed="false">
      <c r="A70" s="10"/>
      <c r="C70" s="8"/>
    </row>
    <row r="71" customFormat="false" ht="15" hidden="false" customHeight="false" outlineLevel="0" collapsed="false">
      <c r="A71" s="10"/>
      <c r="C71" s="8"/>
    </row>
    <row r="72" customFormat="false" ht="15" hidden="false" customHeight="false" outlineLevel="0" collapsed="false">
      <c r="A72" s="10"/>
      <c r="C72" s="8"/>
    </row>
    <row r="73" customFormat="false" ht="15" hidden="false" customHeight="false" outlineLevel="0" collapsed="false">
      <c r="A73" s="10"/>
      <c r="C73" s="8"/>
    </row>
    <row r="74" customFormat="false" ht="15" hidden="false" customHeight="false" outlineLevel="0" collapsed="false">
      <c r="A74" s="10"/>
      <c r="C74" s="8"/>
    </row>
    <row r="75" customFormat="false" ht="15" hidden="false" customHeight="false" outlineLevel="0" collapsed="false">
      <c r="A75" s="10"/>
      <c r="C75" s="8"/>
    </row>
    <row r="76" customFormat="false" ht="15" hidden="false" customHeight="false" outlineLevel="0" collapsed="false">
      <c r="A76" s="10"/>
      <c r="C76" s="8"/>
    </row>
    <row r="77" customFormat="false" ht="15" hidden="false" customHeight="false" outlineLevel="0" collapsed="false">
      <c r="A77" s="10"/>
      <c r="C77" s="8"/>
    </row>
    <row r="78" customFormat="false" ht="15" hidden="false" customHeight="false" outlineLevel="0" collapsed="false">
      <c r="A78" s="10"/>
      <c r="C78" s="8"/>
    </row>
    <row r="79" customFormat="false" ht="15" hidden="false" customHeight="false" outlineLevel="0" collapsed="false">
      <c r="A79" s="10"/>
      <c r="C79" s="8"/>
    </row>
    <row r="80" customFormat="false" ht="15" hidden="false" customHeight="false" outlineLevel="0" collapsed="false">
      <c r="A80" s="10"/>
      <c r="C80" s="8"/>
    </row>
    <row r="81" customFormat="false" ht="15" hidden="false" customHeight="false" outlineLevel="0" collapsed="false">
      <c r="A81" s="10"/>
      <c r="C81" s="8"/>
    </row>
    <row r="82" customFormat="false" ht="15" hidden="false" customHeight="false" outlineLevel="0" collapsed="false">
      <c r="A82" s="10"/>
      <c r="C82" s="8"/>
    </row>
    <row r="83" customFormat="false" ht="15" hidden="false" customHeight="false" outlineLevel="0" collapsed="false">
      <c r="A83" s="10"/>
      <c r="C83" s="8"/>
    </row>
    <row r="84" customFormat="false" ht="15" hidden="false" customHeight="false" outlineLevel="0" collapsed="false">
      <c r="A84" s="10"/>
      <c r="C84" s="8"/>
    </row>
    <row r="85" customFormat="false" ht="15" hidden="false" customHeight="false" outlineLevel="0" collapsed="false">
      <c r="A85" s="10"/>
      <c r="C85" s="8"/>
    </row>
    <row r="86" customFormat="false" ht="15" hidden="false" customHeight="false" outlineLevel="0" collapsed="false">
      <c r="A86" s="10"/>
      <c r="C86" s="8"/>
    </row>
    <row r="87" customFormat="false" ht="15" hidden="false" customHeight="false" outlineLevel="0" collapsed="false">
      <c r="A87" s="10"/>
      <c r="C87" s="8"/>
    </row>
    <row r="88" customFormat="false" ht="15" hidden="false" customHeight="false" outlineLevel="0" collapsed="false">
      <c r="A88" s="10"/>
      <c r="C88" s="8"/>
    </row>
    <row r="89" customFormat="false" ht="15" hidden="false" customHeight="false" outlineLevel="0" collapsed="false">
      <c r="A89" s="10"/>
      <c r="C89" s="8"/>
    </row>
    <row r="90" customFormat="false" ht="15" hidden="false" customHeight="false" outlineLevel="0" collapsed="false">
      <c r="A90" s="10"/>
      <c r="C90" s="8"/>
    </row>
    <row r="91" customFormat="false" ht="15" hidden="false" customHeight="false" outlineLevel="0" collapsed="false">
      <c r="A91" s="10"/>
      <c r="C91" s="8"/>
    </row>
    <row r="92" customFormat="false" ht="15" hidden="false" customHeight="false" outlineLevel="0" collapsed="false">
      <c r="A92" s="10"/>
      <c r="C92" s="8"/>
    </row>
    <row r="93" customFormat="false" ht="15" hidden="false" customHeight="false" outlineLevel="0" collapsed="false">
      <c r="A93" s="10"/>
      <c r="C93" s="8"/>
    </row>
    <row r="94" customFormat="false" ht="15" hidden="false" customHeight="false" outlineLevel="0" collapsed="false">
      <c r="A94" s="10"/>
      <c r="C94" s="8"/>
    </row>
    <row r="95" customFormat="false" ht="15" hidden="false" customHeight="false" outlineLevel="0" collapsed="false">
      <c r="A95" s="10"/>
      <c r="C95" s="8"/>
    </row>
    <row r="96" customFormat="false" ht="15" hidden="false" customHeight="false" outlineLevel="0" collapsed="false">
      <c r="A96" s="10"/>
      <c r="C96" s="8"/>
    </row>
    <row r="97" customFormat="false" ht="15" hidden="false" customHeight="false" outlineLevel="0" collapsed="false">
      <c r="A97" s="10"/>
      <c r="C97" s="8"/>
    </row>
    <row r="98" customFormat="false" ht="15" hidden="false" customHeight="false" outlineLevel="0" collapsed="false">
      <c r="A98" s="10"/>
      <c r="C98" s="8"/>
    </row>
    <row r="99" customFormat="false" ht="15" hidden="false" customHeight="false" outlineLevel="0" collapsed="false">
      <c r="A99" s="10"/>
      <c r="C99" s="8"/>
    </row>
    <row r="100" customFormat="false" ht="15" hidden="false" customHeight="false" outlineLevel="0" collapsed="false">
      <c r="A100" s="10"/>
      <c r="C100" s="8"/>
    </row>
    <row r="101" customFormat="false" ht="15" hidden="false" customHeight="false" outlineLevel="0" collapsed="false">
      <c r="A101" s="10"/>
      <c r="C101" s="8"/>
    </row>
    <row r="102" customFormat="false" ht="15" hidden="false" customHeight="false" outlineLevel="0" collapsed="false">
      <c r="A102" s="10"/>
      <c r="C102" s="8"/>
    </row>
    <row r="103" customFormat="false" ht="15" hidden="false" customHeight="false" outlineLevel="0" collapsed="false">
      <c r="A103" s="10"/>
      <c r="C103" s="8"/>
    </row>
    <row r="104" customFormat="false" ht="15" hidden="false" customHeight="false" outlineLevel="0" collapsed="false">
      <c r="A104" s="10"/>
      <c r="C104" s="8"/>
    </row>
    <row r="105" customFormat="false" ht="15" hidden="false" customHeight="false" outlineLevel="0" collapsed="false">
      <c r="A105" s="10"/>
      <c r="C105" s="8"/>
    </row>
    <row r="106" customFormat="false" ht="15" hidden="false" customHeight="false" outlineLevel="0" collapsed="false">
      <c r="A106" s="10"/>
      <c r="C106" s="8"/>
    </row>
    <row r="107" customFormat="false" ht="15" hidden="false" customHeight="false" outlineLevel="0" collapsed="false">
      <c r="A107" s="10"/>
      <c r="C107" s="8"/>
    </row>
    <row r="108" customFormat="false" ht="15" hidden="false" customHeight="false" outlineLevel="0" collapsed="false">
      <c r="A108" s="10"/>
      <c r="C108" s="8"/>
    </row>
    <row r="109" customFormat="false" ht="15" hidden="false" customHeight="false" outlineLevel="0" collapsed="false">
      <c r="A109" s="10"/>
      <c r="C109" s="8"/>
    </row>
    <row r="110" customFormat="false" ht="15" hidden="false" customHeight="false" outlineLevel="0" collapsed="false">
      <c r="A110" s="10"/>
      <c r="C110" s="8"/>
    </row>
    <row r="111" customFormat="false" ht="15" hidden="false" customHeight="false" outlineLevel="0" collapsed="false">
      <c r="A111" s="10"/>
      <c r="C111" s="8"/>
    </row>
    <row r="112" customFormat="false" ht="15" hidden="false" customHeight="false" outlineLevel="0" collapsed="false">
      <c r="A112" s="10"/>
      <c r="C112" s="8"/>
    </row>
    <row r="113" customFormat="false" ht="15" hidden="false" customHeight="false" outlineLevel="0" collapsed="false">
      <c r="A113" s="10"/>
      <c r="C113" s="8"/>
    </row>
    <row r="114" customFormat="false" ht="15" hidden="false" customHeight="false" outlineLevel="0" collapsed="false">
      <c r="A114" s="10"/>
      <c r="C114" s="8"/>
    </row>
    <row r="115" customFormat="false" ht="15" hidden="false" customHeight="false" outlineLevel="0" collapsed="false">
      <c r="A115" s="10"/>
      <c r="C115" s="8"/>
    </row>
    <row r="116" customFormat="false" ht="15" hidden="false" customHeight="false" outlineLevel="0" collapsed="false">
      <c r="A116" s="10"/>
      <c r="C116" s="8"/>
    </row>
    <row r="117" customFormat="false" ht="15" hidden="false" customHeight="false" outlineLevel="0" collapsed="false">
      <c r="A117" s="10"/>
      <c r="C117" s="8"/>
    </row>
    <row r="118" customFormat="false" ht="15" hidden="false" customHeight="false" outlineLevel="0" collapsed="false">
      <c r="A118" s="10"/>
      <c r="C118" s="8"/>
    </row>
    <row r="119" customFormat="false" ht="15" hidden="false" customHeight="false" outlineLevel="0" collapsed="false">
      <c r="A119" s="10"/>
      <c r="C119" s="8"/>
    </row>
    <row r="120" customFormat="false" ht="15" hidden="false" customHeight="false" outlineLevel="0" collapsed="false">
      <c r="A120" s="10"/>
      <c r="C120" s="8"/>
    </row>
    <row r="121" customFormat="false" ht="15" hidden="false" customHeight="false" outlineLevel="0" collapsed="false">
      <c r="A121" s="10"/>
      <c r="C121" s="8"/>
    </row>
    <row r="122" customFormat="false" ht="15" hidden="false" customHeight="false" outlineLevel="0" collapsed="false">
      <c r="A122" s="10"/>
      <c r="C122" s="8"/>
    </row>
    <row r="123" customFormat="false" ht="15" hidden="false" customHeight="false" outlineLevel="0" collapsed="false">
      <c r="A123" s="10"/>
      <c r="C123" s="8"/>
    </row>
    <row r="124" customFormat="false" ht="15" hidden="false" customHeight="false" outlineLevel="0" collapsed="false">
      <c r="A124" s="10"/>
      <c r="C124" s="8"/>
    </row>
    <row r="125" customFormat="false" ht="15" hidden="false" customHeight="false" outlineLevel="0" collapsed="false">
      <c r="A125" s="10"/>
      <c r="C125" s="8"/>
    </row>
    <row r="126" customFormat="false" ht="15" hidden="false" customHeight="false" outlineLevel="0" collapsed="false">
      <c r="A126" s="10"/>
      <c r="C126" s="8"/>
    </row>
    <row r="127" customFormat="false" ht="15" hidden="false" customHeight="false" outlineLevel="0" collapsed="false">
      <c r="A127" s="10"/>
      <c r="C127" s="8"/>
    </row>
    <row r="128" customFormat="false" ht="15" hidden="false" customHeight="false" outlineLevel="0" collapsed="false">
      <c r="A128" s="10"/>
      <c r="C128" s="8"/>
    </row>
    <row r="129" customFormat="false" ht="15" hidden="false" customHeight="false" outlineLevel="0" collapsed="false">
      <c r="A129" s="10"/>
      <c r="C129" s="8"/>
    </row>
    <row r="130" customFormat="false" ht="15" hidden="false" customHeight="false" outlineLevel="0" collapsed="false">
      <c r="A130" s="10"/>
      <c r="C130" s="8"/>
    </row>
    <row r="131" customFormat="false" ht="15" hidden="false" customHeight="false" outlineLevel="0" collapsed="false">
      <c r="A131" s="10"/>
      <c r="C131" s="8"/>
    </row>
    <row r="132" customFormat="false" ht="15" hidden="false" customHeight="false" outlineLevel="0" collapsed="false">
      <c r="A132" s="10"/>
      <c r="C132" s="8"/>
    </row>
    <row r="133" customFormat="false" ht="15" hidden="false" customHeight="false" outlineLevel="0" collapsed="false">
      <c r="A133" s="10"/>
      <c r="C133" s="8"/>
    </row>
    <row r="134" customFormat="false" ht="15" hidden="false" customHeight="false" outlineLevel="0" collapsed="false">
      <c r="A134" s="10"/>
      <c r="C134" s="8"/>
    </row>
    <row r="135" customFormat="false" ht="15" hidden="false" customHeight="false" outlineLevel="0" collapsed="false">
      <c r="A135" s="10"/>
      <c r="C135" s="8"/>
    </row>
    <row r="136" customFormat="false" ht="15" hidden="false" customHeight="false" outlineLevel="0" collapsed="false">
      <c r="A136" s="10"/>
      <c r="C136" s="8"/>
    </row>
    <row r="137" customFormat="false" ht="15" hidden="false" customHeight="false" outlineLevel="0" collapsed="false">
      <c r="A137" s="10"/>
      <c r="C137" s="8"/>
    </row>
    <row r="138" customFormat="false" ht="15" hidden="false" customHeight="false" outlineLevel="0" collapsed="false">
      <c r="A138" s="10"/>
      <c r="C138" s="8"/>
    </row>
    <row r="139" customFormat="false" ht="15" hidden="false" customHeight="false" outlineLevel="0" collapsed="false">
      <c r="A139" s="10"/>
      <c r="C139" s="8"/>
    </row>
    <row r="140" customFormat="false" ht="15" hidden="false" customHeight="false" outlineLevel="0" collapsed="false">
      <c r="A140" s="10"/>
      <c r="C140" s="8"/>
    </row>
    <row r="141" customFormat="false" ht="15" hidden="false" customHeight="false" outlineLevel="0" collapsed="false">
      <c r="A141" s="10"/>
      <c r="C141" s="8"/>
    </row>
    <row r="142" customFormat="false" ht="15" hidden="false" customHeight="false" outlineLevel="0" collapsed="false">
      <c r="A142" s="10"/>
      <c r="C142" s="8"/>
    </row>
    <row r="143" customFormat="false" ht="15" hidden="false" customHeight="false" outlineLevel="0" collapsed="false">
      <c r="A143" s="10"/>
      <c r="C143" s="8"/>
    </row>
    <row r="144" customFormat="false" ht="15" hidden="false" customHeight="false" outlineLevel="0" collapsed="false">
      <c r="A144" s="10"/>
      <c r="C144" s="8"/>
    </row>
    <row r="145" customFormat="false" ht="15" hidden="false" customHeight="false" outlineLevel="0" collapsed="false">
      <c r="A145" s="10"/>
      <c r="C145" s="8"/>
    </row>
    <row r="146" customFormat="false" ht="15" hidden="false" customHeight="false" outlineLevel="0" collapsed="false">
      <c r="A146" s="10"/>
      <c r="C146" s="8"/>
    </row>
    <row r="147" customFormat="false" ht="15" hidden="false" customHeight="false" outlineLevel="0" collapsed="false">
      <c r="A147" s="10"/>
      <c r="C147" s="8"/>
    </row>
    <row r="148" customFormat="false" ht="15" hidden="false" customHeight="false" outlineLevel="0" collapsed="false">
      <c r="A148" s="10"/>
      <c r="C148" s="8"/>
    </row>
    <row r="149" customFormat="false" ht="15" hidden="false" customHeight="false" outlineLevel="0" collapsed="false">
      <c r="A149" s="10"/>
      <c r="C149" s="8"/>
    </row>
    <row r="150" customFormat="false" ht="15" hidden="false" customHeight="false" outlineLevel="0" collapsed="false">
      <c r="A150" s="10"/>
      <c r="C150" s="8"/>
    </row>
    <row r="151" customFormat="false" ht="15" hidden="false" customHeight="false" outlineLevel="0" collapsed="false">
      <c r="A151" s="10"/>
      <c r="C151" s="8"/>
    </row>
    <row r="152" customFormat="false" ht="15" hidden="false" customHeight="false" outlineLevel="0" collapsed="false">
      <c r="A152" s="10"/>
      <c r="C152" s="8"/>
    </row>
    <row r="153" customFormat="false" ht="15" hidden="false" customHeight="false" outlineLevel="0" collapsed="false">
      <c r="A153" s="10"/>
      <c r="C153" s="8"/>
    </row>
    <row r="154" customFormat="false" ht="15" hidden="false" customHeight="false" outlineLevel="0" collapsed="false">
      <c r="A154" s="10"/>
      <c r="C154" s="8"/>
    </row>
    <row r="155" customFormat="false" ht="15" hidden="false" customHeight="false" outlineLevel="0" collapsed="false">
      <c r="A155" s="10"/>
      <c r="C155" s="8"/>
    </row>
    <row r="156" customFormat="false" ht="15" hidden="false" customHeight="false" outlineLevel="0" collapsed="false">
      <c r="A156" s="10"/>
      <c r="C156" s="8"/>
    </row>
    <row r="157" customFormat="false" ht="15" hidden="false" customHeight="false" outlineLevel="0" collapsed="false">
      <c r="A157" s="10"/>
      <c r="C157" s="8"/>
    </row>
    <row r="158" customFormat="false" ht="15" hidden="false" customHeight="false" outlineLevel="0" collapsed="false">
      <c r="A158" s="10"/>
      <c r="C158" s="8"/>
    </row>
    <row r="159" customFormat="false" ht="15" hidden="false" customHeight="false" outlineLevel="0" collapsed="false">
      <c r="A159" s="10"/>
      <c r="C159" s="8"/>
    </row>
    <row r="160" customFormat="false" ht="15" hidden="false" customHeight="false" outlineLevel="0" collapsed="false">
      <c r="A160" s="10"/>
      <c r="C160" s="8"/>
    </row>
    <row r="161" customFormat="false" ht="15" hidden="false" customHeight="false" outlineLevel="0" collapsed="false">
      <c r="A161" s="10"/>
      <c r="C161" s="8"/>
    </row>
    <row r="162" customFormat="false" ht="15" hidden="false" customHeight="false" outlineLevel="0" collapsed="false">
      <c r="A162" s="10"/>
      <c r="C162" s="8"/>
    </row>
    <row r="163" customFormat="false" ht="15" hidden="false" customHeight="false" outlineLevel="0" collapsed="false">
      <c r="A163" s="10"/>
      <c r="C163" s="8"/>
    </row>
    <row r="164" customFormat="false" ht="15" hidden="false" customHeight="false" outlineLevel="0" collapsed="false">
      <c r="A164" s="10"/>
      <c r="C164" s="8"/>
    </row>
    <row r="165" customFormat="false" ht="15" hidden="false" customHeight="false" outlineLevel="0" collapsed="false">
      <c r="A165" s="10"/>
      <c r="C165" s="8"/>
    </row>
    <row r="166" customFormat="false" ht="15" hidden="false" customHeight="false" outlineLevel="0" collapsed="false">
      <c r="A166" s="10"/>
      <c r="C166" s="8"/>
    </row>
    <row r="167" customFormat="false" ht="15" hidden="false" customHeight="false" outlineLevel="0" collapsed="false">
      <c r="A167" s="10"/>
      <c r="C167" s="8"/>
    </row>
    <row r="168" customFormat="false" ht="15" hidden="false" customHeight="false" outlineLevel="0" collapsed="false">
      <c r="A168" s="10"/>
      <c r="C168" s="8"/>
    </row>
    <row r="169" customFormat="false" ht="15" hidden="false" customHeight="false" outlineLevel="0" collapsed="false">
      <c r="A169" s="10"/>
      <c r="C169" s="8"/>
    </row>
    <row r="170" customFormat="false" ht="15" hidden="false" customHeight="false" outlineLevel="0" collapsed="false">
      <c r="A170" s="10"/>
      <c r="C170" s="8"/>
    </row>
    <row r="171" customFormat="false" ht="15" hidden="false" customHeight="false" outlineLevel="0" collapsed="false">
      <c r="A171" s="10"/>
      <c r="C171" s="8"/>
    </row>
    <row r="172" customFormat="false" ht="15" hidden="false" customHeight="false" outlineLevel="0" collapsed="false">
      <c r="A172" s="10"/>
      <c r="C172" s="8"/>
    </row>
    <row r="173" customFormat="false" ht="15" hidden="false" customHeight="false" outlineLevel="0" collapsed="false">
      <c r="A173" s="10"/>
      <c r="C173" s="8"/>
    </row>
    <row r="174" customFormat="false" ht="15" hidden="false" customHeight="false" outlineLevel="0" collapsed="false">
      <c r="A174" s="10"/>
      <c r="C174" s="8"/>
    </row>
    <row r="175" customFormat="false" ht="15" hidden="false" customHeight="false" outlineLevel="0" collapsed="false">
      <c r="A175" s="10"/>
      <c r="C175" s="8"/>
    </row>
    <row r="176" customFormat="false" ht="15" hidden="false" customHeight="false" outlineLevel="0" collapsed="false">
      <c r="A176" s="10"/>
      <c r="C176" s="8"/>
    </row>
    <row r="177" customFormat="false" ht="15" hidden="false" customHeight="false" outlineLevel="0" collapsed="false">
      <c r="A177" s="10"/>
      <c r="C177" s="8"/>
    </row>
    <row r="178" customFormat="false" ht="15" hidden="false" customHeight="false" outlineLevel="0" collapsed="false">
      <c r="A178" s="10"/>
      <c r="C178" s="8"/>
    </row>
    <row r="179" customFormat="false" ht="15" hidden="false" customHeight="false" outlineLevel="0" collapsed="false">
      <c r="A179" s="10"/>
      <c r="C179" s="8"/>
    </row>
    <row r="180" customFormat="false" ht="15" hidden="false" customHeight="false" outlineLevel="0" collapsed="false">
      <c r="A180" s="10"/>
      <c r="C180" s="8"/>
    </row>
    <row r="181" customFormat="false" ht="15" hidden="false" customHeight="false" outlineLevel="0" collapsed="false">
      <c r="A181" s="10"/>
      <c r="C181" s="8"/>
    </row>
    <row r="182" customFormat="false" ht="15" hidden="false" customHeight="false" outlineLevel="0" collapsed="false">
      <c r="A182" s="10"/>
      <c r="C182" s="8"/>
    </row>
    <row r="183" customFormat="false" ht="15" hidden="false" customHeight="false" outlineLevel="0" collapsed="false">
      <c r="A183" s="10"/>
      <c r="C183" s="8"/>
    </row>
    <row r="184" customFormat="false" ht="15" hidden="false" customHeight="false" outlineLevel="0" collapsed="false">
      <c r="A184" s="10"/>
      <c r="C184" s="8"/>
    </row>
    <row r="185" customFormat="false" ht="15" hidden="false" customHeight="false" outlineLevel="0" collapsed="false">
      <c r="A185" s="10"/>
      <c r="C185" s="8"/>
    </row>
    <row r="186" customFormat="false" ht="15" hidden="false" customHeight="false" outlineLevel="0" collapsed="false">
      <c r="A186" s="10"/>
      <c r="C186" s="8"/>
    </row>
    <row r="187" customFormat="false" ht="15" hidden="false" customHeight="false" outlineLevel="0" collapsed="false">
      <c r="A187" s="10"/>
      <c r="C187" s="8"/>
    </row>
    <row r="188" customFormat="false" ht="15" hidden="false" customHeight="false" outlineLevel="0" collapsed="false">
      <c r="A188" s="10"/>
      <c r="C188" s="8"/>
    </row>
    <row r="189" customFormat="false" ht="15" hidden="false" customHeight="false" outlineLevel="0" collapsed="false">
      <c r="A189" s="10"/>
      <c r="C189" s="8"/>
    </row>
    <row r="190" customFormat="false" ht="15" hidden="false" customHeight="false" outlineLevel="0" collapsed="false">
      <c r="A190" s="10"/>
      <c r="C190" s="8"/>
    </row>
    <row r="191" customFormat="false" ht="15" hidden="false" customHeight="false" outlineLevel="0" collapsed="false">
      <c r="A191" s="10"/>
      <c r="C191" s="8"/>
    </row>
    <row r="192" customFormat="false" ht="15" hidden="false" customHeight="false" outlineLevel="0" collapsed="false">
      <c r="A192" s="10"/>
      <c r="C192" s="8"/>
    </row>
    <row r="193" customFormat="false" ht="15" hidden="false" customHeight="false" outlineLevel="0" collapsed="false">
      <c r="A193" s="10"/>
      <c r="C193" s="8"/>
    </row>
    <row r="194" customFormat="false" ht="15" hidden="false" customHeight="false" outlineLevel="0" collapsed="false">
      <c r="A194" s="10"/>
      <c r="C194" s="8"/>
    </row>
    <row r="195" customFormat="false" ht="15" hidden="false" customHeight="false" outlineLevel="0" collapsed="false">
      <c r="A195" s="10"/>
      <c r="C195" s="8"/>
    </row>
    <row r="196" customFormat="false" ht="15" hidden="false" customHeight="false" outlineLevel="0" collapsed="false">
      <c r="A196" s="10"/>
      <c r="C196" s="8"/>
    </row>
    <row r="197" customFormat="false" ht="15" hidden="false" customHeight="false" outlineLevel="0" collapsed="false">
      <c r="A197" s="10"/>
      <c r="C197" s="8"/>
    </row>
    <row r="198" customFormat="false" ht="15" hidden="false" customHeight="false" outlineLevel="0" collapsed="false">
      <c r="A198" s="10"/>
      <c r="C198" s="8"/>
    </row>
    <row r="199" customFormat="false" ht="15" hidden="false" customHeight="false" outlineLevel="0" collapsed="false">
      <c r="A199" s="10"/>
      <c r="C199" s="8"/>
    </row>
    <row r="200" customFormat="false" ht="15" hidden="false" customHeight="false" outlineLevel="0" collapsed="false">
      <c r="A200" s="10"/>
      <c r="C200" s="8"/>
    </row>
    <row r="201" customFormat="false" ht="15" hidden="false" customHeight="false" outlineLevel="0" collapsed="false">
      <c r="A201" s="10"/>
      <c r="C201" s="8"/>
    </row>
    <row r="202" customFormat="false" ht="15" hidden="false" customHeight="false" outlineLevel="0" collapsed="false">
      <c r="A202" s="10"/>
      <c r="C202" s="8"/>
    </row>
    <row r="203" customFormat="false" ht="15" hidden="false" customHeight="false" outlineLevel="0" collapsed="false">
      <c r="A203" s="10"/>
      <c r="C203" s="8"/>
    </row>
    <row r="204" customFormat="false" ht="15" hidden="false" customHeight="false" outlineLevel="0" collapsed="false">
      <c r="A204" s="10"/>
      <c r="C204" s="8"/>
    </row>
    <row r="205" customFormat="false" ht="15" hidden="false" customHeight="false" outlineLevel="0" collapsed="false">
      <c r="A205" s="10"/>
      <c r="C205" s="8"/>
    </row>
    <row r="206" customFormat="false" ht="15" hidden="false" customHeight="false" outlineLevel="0" collapsed="false">
      <c r="A206" s="10"/>
      <c r="C206" s="8"/>
    </row>
    <row r="207" customFormat="false" ht="15" hidden="false" customHeight="false" outlineLevel="0" collapsed="false">
      <c r="A207" s="10"/>
      <c r="C207" s="8"/>
    </row>
    <row r="208" customFormat="false" ht="15" hidden="false" customHeight="false" outlineLevel="0" collapsed="false">
      <c r="A208" s="10"/>
      <c r="C208" s="8"/>
    </row>
    <row r="209" customFormat="false" ht="15" hidden="false" customHeight="false" outlineLevel="0" collapsed="false">
      <c r="A209" s="10"/>
      <c r="C209" s="8"/>
    </row>
    <row r="210" customFormat="false" ht="15" hidden="false" customHeight="false" outlineLevel="0" collapsed="false">
      <c r="A210" s="10"/>
      <c r="C210" s="8"/>
    </row>
    <row r="211" customFormat="false" ht="15" hidden="false" customHeight="false" outlineLevel="0" collapsed="false">
      <c r="A211" s="10"/>
      <c r="C211" s="8"/>
    </row>
    <row r="212" customFormat="false" ht="15" hidden="false" customHeight="false" outlineLevel="0" collapsed="false">
      <c r="A212" s="10"/>
      <c r="C212" s="8"/>
    </row>
    <row r="213" customFormat="false" ht="15" hidden="false" customHeight="false" outlineLevel="0" collapsed="false">
      <c r="A213" s="10"/>
      <c r="C213" s="8"/>
    </row>
    <row r="214" customFormat="false" ht="15" hidden="false" customHeight="false" outlineLevel="0" collapsed="false">
      <c r="A214" s="10"/>
      <c r="C214" s="8"/>
    </row>
    <row r="215" customFormat="false" ht="15" hidden="false" customHeight="false" outlineLevel="0" collapsed="false">
      <c r="A215" s="10"/>
      <c r="C215" s="8"/>
    </row>
    <row r="216" customFormat="false" ht="15" hidden="false" customHeight="false" outlineLevel="0" collapsed="false">
      <c r="A216" s="10"/>
      <c r="C216" s="8"/>
    </row>
    <row r="217" customFormat="false" ht="15" hidden="false" customHeight="false" outlineLevel="0" collapsed="false">
      <c r="A217" s="10"/>
      <c r="C217" s="8"/>
    </row>
    <row r="218" customFormat="false" ht="15" hidden="false" customHeight="false" outlineLevel="0" collapsed="false">
      <c r="A218" s="10"/>
      <c r="C218" s="8"/>
    </row>
    <row r="219" customFormat="false" ht="15" hidden="false" customHeight="false" outlineLevel="0" collapsed="false">
      <c r="A219" s="10"/>
      <c r="C219" s="8"/>
    </row>
    <row r="220" customFormat="false" ht="15" hidden="false" customHeight="false" outlineLevel="0" collapsed="false">
      <c r="A220" s="10"/>
      <c r="C220" s="8"/>
    </row>
    <row r="221" customFormat="false" ht="15" hidden="false" customHeight="false" outlineLevel="0" collapsed="false">
      <c r="A221" s="10"/>
      <c r="C221" s="8"/>
    </row>
    <row r="222" customFormat="false" ht="15" hidden="false" customHeight="false" outlineLevel="0" collapsed="false">
      <c r="A222" s="10"/>
      <c r="C222" s="8"/>
    </row>
    <row r="223" customFormat="false" ht="15" hidden="false" customHeight="false" outlineLevel="0" collapsed="false">
      <c r="A223" s="10"/>
      <c r="C223" s="8"/>
    </row>
    <row r="224" customFormat="false" ht="15" hidden="false" customHeight="false" outlineLevel="0" collapsed="false">
      <c r="A224" s="10"/>
      <c r="C224" s="8"/>
    </row>
    <row r="225" customFormat="false" ht="15" hidden="false" customHeight="false" outlineLevel="0" collapsed="false">
      <c r="A225" s="10"/>
      <c r="C225" s="8"/>
    </row>
    <row r="226" customFormat="false" ht="15" hidden="false" customHeight="false" outlineLevel="0" collapsed="false">
      <c r="A226" s="10"/>
      <c r="C226" s="8"/>
    </row>
    <row r="227" customFormat="false" ht="15" hidden="false" customHeight="false" outlineLevel="0" collapsed="false">
      <c r="A227" s="10"/>
      <c r="C227" s="8"/>
    </row>
    <row r="228" customFormat="false" ht="15" hidden="false" customHeight="false" outlineLevel="0" collapsed="false">
      <c r="A228" s="10"/>
      <c r="C228" s="8"/>
    </row>
    <row r="229" customFormat="false" ht="15" hidden="false" customHeight="false" outlineLevel="0" collapsed="false">
      <c r="A229" s="10"/>
      <c r="C229" s="8"/>
    </row>
    <row r="230" customFormat="false" ht="15" hidden="false" customHeight="false" outlineLevel="0" collapsed="false">
      <c r="A230" s="10"/>
      <c r="C230" s="8"/>
    </row>
    <row r="231" customFormat="false" ht="15" hidden="false" customHeight="false" outlineLevel="0" collapsed="false">
      <c r="A231" s="10"/>
      <c r="C231" s="8"/>
    </row>
    <row r="232" customFormat="false" ht="15" hidden="false" customHeight="false" outlineLevel="0" collapsed="false">
      <c r="A232" s="10"/>
      <c r="C232" s="8"/>
    </row>
    <row r="233" customFormat="false" ht="15" hidden="false" customHeight="false" outlineLevel="0" collapsed="false">
      <c r="A233" s="10"/>
      <c r="C233" s="8"/>
    </row>
    <row r="234" customFormat="false" ht="15" hidden="false" customHeight="false" outlineLevel="0" collapsed="false">
      <c r="A234" s="10"/>
      <c r="C234" s="8"/>
    </row>
    <row r="235" customFormat="false" ht="15" hidden="false" customHeight="false" outlineLevel="0" collapsed="false">
      <c r="A235" s="10"/>
      <c r="C235" s="8"/>
    </row>
    <row r="236" customFormat="false" ht="15" hidden="false" customHeight="false" outlineLevel="0" collapsed="false">
      <c r="A236" s="10"/>
      <c r="C236" s="8"/>
    </row>
    <row r="237" customFormat="false" ht="15" hidden="false" customHeight="false" outlineLevel="0" collapsed="false">
      <c r="A237" s="10"/>
      <c r="C237" s="8"/>
    </row>
    <row r="238" customFormat="false" ht="15" hidden="false" customHeight="false" outlineLevel="0" collapsed="false">
      <c r="A238" s="10"/>
      <c r="C238" s="8"/>
    </row>
    <row r="239" customFormat="false" ht="15" hidden="false" customHeight="false" outlineLevel="0" collapsed="false">
      <c r="A239" s="10"/>
      <c r="C239" s="8"/>
    </row>
    <row r="240" customFormat="false" ht="15" hidden="false" customHeight="false" outlineLevel="0" collapsed="false">
      <c r="A240" s="10"/>
      <c r="C240" s="8"/>
    </row>
    <row r="241" customFormat="false" ht="15" hidden="false" customHeight="false" outlineLevel="0" collapsed="false">
      <c r="A241" s="10"/>
      <c r="C241" s="8"/>
    </row>
    <row r="242" customFormat="false" ht="15" hidden="false" customHeight="false" outlineLevel="0" collapsed="false">
      <c r="A242" s="10"/>
      <c r="C242" s="8"/>
    </row>
    <row r="243" customFormat="false" ht="15" hidden="false" customHeight="false" outlineLevel="0" collapsed="false">
      <c r="A243" s="10"/>
      <c r="C243" s="8"/>
    </row>
    <row r="244" customFormat="false" ht="15" hidden="false" customHeight="false" outlineLevel="0" collapsed="false">
      <c r="A244" s="10"/>
      <c r="C244" s="8"/>
    </row>
    <row r="245" customFormat="false" ht="15" hidden="false" customHeight="false" outlineLevel="0" collapsed="false">
      <c r="A245" s="10"/>
      <c r="C245" s="8"/>
    </row>
    <row r="246" customFormat="false" ht="15" hidden="false" customHeight="false" outlineLevel="0" collapsed="false">
      <c r="A246" s="10"/>
      <c r="C246" s="8"/>
    </row>
    <row r="247" customFormat="false" ht="15" hidden="false" customHeight="false" outlineLevel="0" collapsed="false">
      <c r="A247" s="10"/>
      <c r="C247" s="8"/>
    </row>
    <row r="248" customFormat="false" ht="15" hidden="false" customHeight="false" outlineLevel="0" collapsed="false">
      <c r="A248" s="10"/>
      <c r="C248" s="8"/>
    </row>
    <row r="249" customFormat="false" ht="15" hidden="false" customHeight="false" outlineLevel="0" collapsed="false">
      <c r="A249" s="10"/>
      <c r="C249" s="8"/>
    </row>
    <row r="250" customFormat="false" ht="15" hidden="false" customHeight="false" outlineLevel="0" collapsed="false">
      <c r="A250" s="10"/>
      <c r="C250" s="8"/>
    </row>
    <row r="251" customFormat="false" ht="15" hidden="false" customHeight="false" outlineLevel="0" collapsed="false">
      <c r="A251" s="10"/>
      <c r="C251" s="8"/>
    </row>
    <row r="252" customFormat="false" ht="15" hidden="false" customHeight="false" outlineLevel="0" collapsed="false">
      <c r="A252" s="10"/>
      <c r="C252" s="8"/>
    </row>
    <row r="253" customFormat="false" ht="15" hidden="false" customHeight="false" outlineLevel="0" collapsed="false">
      <c r="A253" s="10"/>
      <c r="C253" s="8"/>
    </row>
    <row r="254" customFormat="false" ht="15" hidden="false" customHeight="false" outlineLevel="0" collapsed="false">
      <c r="A254" s="10"/>
      <c r="C254" s="8"/>
    </row>
    <row r="255" customFormat="false" ht="15" hidden="false" customHeight="false" outlineLevel="0" collapsed="false">
      <c r="A255" s="10"/>
      <c r="C255" s="8"/>
    </row>
    <row r="256" customFormat="false" ht="15" hidden="false" customHeight="false" outlineLevel="0" collapsed="false">
      <c r="A256" s="10"/>
      <c r="C256" s="8"/>
    </row>
    <row r="257" customFormat="false" ht="15" hidden="false" customHeight="false" outlineLevel="0" collapsed="false">
      <c r="A257" s="10"/>
      <c r="C257" s="8"/>
    </row>
    <row r="258" customFormat="false" ht="15" hidden="false" customHeight="false" outlineLevel="0" collapsed="false">
      <c r="A258" s="10"/>
      <c r="C258" s="8"/>
    </row>
    <row r="259" customFormat="false" ht="15" hidden="false" customHeight="false" outlineLevel="0" collapsed="false">
      <c r="A259" s="10"/>
      <c r="C259" s="8"/>
    </row>
    <row r="260" customFormat="false" ht="15" hidden="false" customHeight="false" outlineLevel="0" collapsed="false">
      <c r="A260" s="10"/>
      <c r="C260" s="8"/>
    </row>
    <row r="261" customFormat="false" ht="15" hidden="false" customHeight="false" outlineLevel="0" collapsed="false">
      <c r="A261" s="10"/>
      <c r="C261" s="8"/>
    </row>
    <row r="262" customFormat="false" ht="15" hidden="false" customHeight="false" outlineLevel="0" collapsed="false">
      <c r="A262" s="10"/>
      <c r="C262" s="8"/>
    </row>
    <row r="263" customFormat="false" ht="15" hidden="false" customHeight="false" outlineLevel="0" collapsed="false">
      <c r="A263" s="10"/>
      <c r="C263" s="8"/>
    </row>
    <row r="264" customFormat="false" ht="15" hidden="false" customHeight="false" outlineLevel="0" collapsed="false">
      <c r="A264" s="10"/>
      <c r="C264" s="8"/>
    </row>
    <row r="265" customFormat="false" ht="15" hidden="false" customHeight="false" outlineLevel="0" collapsed="false">
      <c r="A265" s="10"/>
      <c r="C265" s="8"/>
    </row>
    <row r="266" customFormat="false" ht="15" hidden="false" customHeight="false" outlineLevel="0" collapsed="false">
      <c r="A266" s="10"/>
      <c r="C266" s="8"/>
    </row>
    <row r="267" customFormat="false" ht="15" hidden="false" customHeight="false" outlineLevel="0" collapsed="false">
      <c r="A267" s="10"/>
      <c r="C267" s="8"/>
    </row>
    <row r="268" customFormat="false" ht="15" hidden="false" customHeight="false" outlineLevel="0" collapsed="false">
      <c r="A268" s="10"/>
      <c r="C268" s="8"/>
    </row>
    <row r="269" customFormat="false" ht="15" hidden="false" customHeight="false" outlineLevel="0" collapsed="false">
      <c r="A269" s="10"/>
      <c r="C269" s="8"/>
    </row>
    <row r="270" customFormat="false" ht="15" hidden="false" customHeight="false" outlineLevel="0" collapsed="false">
      <c r="A270" s="10"/>
      <c r="C270" s="8"/>
    </row>
    <row r="271" customFormat="false" ht="15" hidden="false" customHeight="false" outlineLevel="0" collapsed="false">
      <c r="A271" s="10"/>
      <c r="C271" s="8"/>
    </row>
    <row r="272" customFormat="false" ht="15" hidden="false" customHeight="false" outlineLevel="0" collapsed="false">
      <c r="A272" s="10"/>
      <c r="C272" s="8"/>
    </row>
    <row r="273" customFormat="false" ht="15" hidden="false" customHeight="false" outlineLevel="0" collapsed="false">
      <c r="A273" s="10"/>
      <c r="C273" s="8"/>
    </row>
    <row r="274" customFormat="false" ht="15" hidden="false" customHeight="false" outlineLevel="0" collapsed="false">
      <c r="A274" s="10"/>
      <c r="C274" s="8"/>
    </row>
    <row r="275" customFormat="false" ht="15" hidden="false" customHeight="false" outlineLevel="0" collapsed="false">
      <c r="A275" s="10"/>
      <c r="C275" s="8"/>
    </row>
    <row r="276" customFormat="false" ht="15" hidden="false" customHeight="false" outlineLevel="0" collapsed="false">
      <c r="A276" s="10"/>
      <c r="C276" s="8"/>
    </row>
    <row r="277" customFormat="false" ht="15" hidden="false" customHeight="false" outlineLevel="0" collapsed="false">
      <c r="A277" s="10"/>
      <c r="C277" s="8"/>
    </row>
    <row r="278" customFormat="false" ht="15" hidden="false" customHeight="false" outlineLevel="0" collapsed="false">
      <c r="A278" s="10"/>
      <c r="C278" s="8"/>
    </row>
    <row r="279" customFormat="false" ht="15" hidden="false" customHeight="false" outlineLevel="0" collapsed="false">
      <c r="A279" s="10"/>
      <c r="C279" s="8"/>
    </row>
    <row r="280" customFormat="false" ht="15" hidden="false" customHeight="false" outlineLevel="0" collapsed="false">
      <c r="A280" s="10"/>
      <c r="C280" s="8"/>
    </row>
    <row r="281" customFormat="false" ht="15" hidden="false" customHeight="false" outlineLevel="0" collapsed="false">
      <c r="A281" s="10"/>
      <c r="C281" s="8"/>
    </row>
    <row r="282" customFormat="false" ht="15" hidden="false" customHeight="false" outlineLevel="0" collapsed="false">
      <c r="A282" s="10"/>
      <c r="C282" s="8"/>
    </row>
    <row r="283" customFormat="false" ht="15" hidden="false" customHeight="false" outlineLevel="0" collapsed="false">
      <c r="A283" s="10"/>
      <c r="C283" s="8"/>
    </row>
    <row r="284" customFormat="false" ht="15" hidden="false" customHeight="false" outlineLevel="0" collapsed="false">
      <c r="A284" s="10"/>
      <c r="C284" s="8"/>
    </row>
    <row r="285" customFormat="false" ht="15" hidden="false" customHeight="false" outlineLevel="0" collapsed="false">
      <c r="A285" s="10"/>
      <c r="C285" s="8"/>
    </row>
    <row r="286" customFormat="false" ht="15" hidden="false" customHeight="false" outlineLevel="0" collapsed="false">
      <c r="A286" s="10"/>
      <c r="C286" s="8"/>
    </row>
    <row r="287" customFormat="false" ht="15" hidden="false" customHeight="false" outlineLevel="0" collapsed="false">
      <c r="A287" s="10"/>
      <c r="C287" s="8"/>
    </row>
    <row r="288" customFormat="false" ht="15" hidden="false" customHeight="false" outlineLevel="0" collapsed="false">
      <c r="A288" s="10"/>
      <c r="C288" s="8"/>
    </row>
    <row r="289" customFormat="false" ht="15" hidden="false" customHeight="false" outlineLevel="0" collapsed="false">
      <c r="A289" s="10"/>
      <c r="C289" s="8"/>
    </row>
    <row r="290" customFormat="false" ht="15" hidden="false" customHeight="false" outlineLevel="0" collapsed="false">
      <c r="A290" s="10"/>
      <c r="C290" s="8"/>
    </row>
    <row r="291" customFormat="false" ht="15" hidden="false" customHeight="false" outlineLevel="0" collapsed="false">
      <c r="A291" s="10"/>
      <c r="C291" s="8"/>
    </row>
    <row r="292" customFormat="false" ht="15" hidden="false" customHeight="false" outlineLevel="0" collapsed="false">
      <c r="A292" s="10"/>
      <c r="C292" s="8"/>
    </row>
    <row r="293" customFormat="false" ht="15" hidden="false" customHeight="false" outlineLevel="0" collapsed="false">
      <c r="A293" s="10"/>
      <c r="C293" s="8"/>
    </row>
    <row r="294" customFormat="false" ht="15" hidden="false" customHeight="false" outlineLevel="0" collapsed="false">
      <c r="A294" s="10"/>
      <c r="C294" s="8"/>
    </row>
    <row r="295" customFormat="false" ht="15" hidden="false" customHeight="false" outlineLevel="0" collapsed="false">
      <c r="A295" s="10"/>
      <c r="C295" s="8"/>
    </row>
    <row r="296" customFormat="false" ht="15" hidden="false" customHeight="false" outlineLevel="0" collapsed="false">
      <c r="A296" s="10"/>
      <c r="C296" s="8"/>
    </row>
    <row r="297" customFormat="false" ht="15" hidden="false" customHeight="false" outlineLevel="0" collapsed="false">
      <c r="A297" s="10"/>
      <c r="C297" s="8"/>
    </row>
    <row r="298" customFormat="false" ht="15" hidden="false" customHeight="false" outlineLevel="0" collapsed="false">
      <c r="A298" s="10"/>
      <c r="C298" s="8"/>
    </row>
    <row r="299" customFormat="false" ht="15" hidden="false" customHeight="false" outlineLevel="0" collapsed="false">
      <c r="A299" s="10"/>
      <c r="C299" s="8"/>
    </row>
    <row r="300" customFormat="false" ht="15" hidden="false" customHeight="false" outlineLevel="0" collapsed="false">
      <c r="A300" s="10"/>
      <c r="C300" s="8"/>
    </row>
    <row r="301" customFormat="false" ht="15" hidden="false" customHeight="false" outlineLevel="0" collapsed="false">
      <c r="A301" s="10"/>
      <c r="C301" s="8"/>
    </row>
    <row r="302" customFormat="false" ht="15" hidden="false" customHeight="false" outlineLevel="0" collapsed="false">
      <c r="A302" s="10"/>
      <c r="C302" s="8"/>
    </row>
    <row r="303" customFormat="false" ht="15" hidden="false" customHeight="false" outlineLevel="0" collapsed="false">
      <c r="A303" s="10"/>
      <c r="C303" s="8"/>
    </row>
    <row r="304" customFormat="false" ht="15" hidden="false" customHeight="false" outlineLevel="0" collapsed="false">
      <c r="A304" s="10"/>
      <c r="C304" s="8"/>
    </row>
    <row r="305" customFormat="false" ht="15" hidden="false" customHeight="false" outlineLevel="0" collapsed="false">
      <c r="A305" s="10"/>
      <c r="C305" s="8"/>
    </row>
    <row r="306" customFormat="false" ht="15" hidden="false" customHeight="false" outlineLevel="0" collapsed="false">
      <c r="A306" s="10"/>
      <c r="C306" s="8"/>
    </row>
    <row r="307" customFormat="false" ht="15" hidden="false" customHeight="false" outlineLevel="0" collapsed="false">
      <c r="A307" s="10"/>
      <c r="C307" s="8"/>
    </row>
    <row r="308" customFormat="false" ht="15" hidden="false" customHeight="false" outlineLevel="0" collapsed="false">
      <c r="A308" s="10"/>
      <c r="C308" s="8"/>
    </row>
    <row r="309" customFormat="false" ht="15" hidden="false" customHeight="false" outlineLevel="0" collapsed="false">
      <c r="A309" s="10"/>
      <c r="C309" s="8"/>
    </row>
    <row r="310" customFormat="false" ht="15" hidden="false" customHeight="false" outlineLevel="0" collapsed="false">
      <c r="A310" s="10"/>
      <c r="C310" s="8"/>
    </row>
    <row r="311" customFormat="false" ht="15" hidden="false" customHeight="false" outlineLevel="0" collapsed="false">
      <c r="A311" s="10"/>
      <c r="C311" s="8"/>
    </row>
    <row r="312" customFormat="false" ht="15" hidden="false" customHeight="false" outlineLevel="0" collapsed="false">
      <c r="A312" s="10"/>
      <c r="C312" s="8"/>
    </row>
    <row r="313" customFormat="false" ht="15" hidden="false" customHeight="false" outlineLevel="0" collapsed="false">
      <c r="A313" s="10"/>
      <c r="C313" s="8"/>
    </row>
    <row r="314" customFormat="false" ht="15" hidden="false" customHeight="false" outlineLevel="0" collapsed="false">
      <c r="A314" s="10"/>
      <c r="C314" s="8"/>
    </row>
    <row r="315" customFormat="false" ht="15" hidden="false" customHeight="false" outlineLevel="0" collapsed="false">
      <c r="A315" s="10"/>
      <c r="C315" s="8"/>
    </row>
    <row r="316" customFormat="false" ht="15" hidden="false" customHeight="false" outlineLevel="0" collapsed="false">
      <c r="A316" s="10"/>
      <c r="C316" s="8"/>
    </row>
    <row r="317" customFormat="false" ht="15" hidden="false" customHeight="false" outlineLevel="0" collapsed="false">
      <c r="A317" s="10"/>
      <c r="C317" s="8"/>
    </row>
    <row r="318" customFormat="false" ht="15" hidden="false" customHeight="false" outlineLevel="0" collapsed="false">
      <c r="A318" s="10"/>
      <c r="C318" s="8"/>
    </row>
    <row r="319" customFormat="false" ht="15" hidden="false" customHeight="false" outlineLevel="0" collapsed="false">
      <c r="A319" s="10"/>
      <c r="C319" s="8"/>
    </row>
    <row r="320" customFormat="false" ht="15" hidden="false" customHeight="false" outlineLevel="0" collapsed="false">
      <c r="A320" s="10"/>
      <c r="C320" s="8"/>
    </row>
    <row r="321" customFormat="false" ht="15" hidden="false" customHeight="false" outlineLevel="0" collapsed="false">
      <c r="A321" s="10"/>
      <c r="C321" s="8"/>
    </row>
    <row r="322" customFormat="false" ht="15" hidden="false" customHeight="false" outlineLevel="0" collapsed="false">
      <c r="A322" s="10"/>
      <c r="C322" s="8"/>
    </row>
    <row r="323" customFormat="false" ht="15" hidden="false" customHeight="false" outlineLevel="0" collapsed="false">
      <c r="A323" s="10"/>
      <c r="C323" s="8"/>
    </row>
    <row r="324" customFormat="false" ht="15" hidden="false" customHeight="false" outlineLevel="0" collapsed="false">
      <c r="A324" s="10"/>
      <c r="C324" s="8"/>
    </row>
    <row r="325" customFormat="false" ht="15" hidden="false" customHeight="false" outlineLevel="0" collapsed="false">
      <c r="A325" s="10"/>
      <c r="C325" s="8"/>
    </row>
    <row r="326" customFormat="false" ht="15" hidden="false" customHeight="false" outlineLevel="0" collapsed="false">
      <c r="A326" s="10"/>
      <c r="C326" s="8"/>
    </row>
    <row r="327" customFormat="false" ht="15" hidden="false" customHeight="false" outlineLevel="0" collapsed="false">
      <c r="A327" s="10"/>
      <c r="C327" s="8"/>
    </row>
    <row r="328" customFormat="false" ht="15" hidden="false" customHeight="false" outlineLevel="0" collapsed="false">
      <c r="A328" s="10"/>
      <c r="C328" s="8"/>
    </row>
    <row r="329" customFormat="false" ht="15" hidden="false" customHeight="false" outlineLevel="0" collapsed="false">
      <c r="A329" s="10"/>
      <c r="C329" s="8"/>
    </row>
    <row r="330" customFormat="false" ht="15" hidden="false" customHeight="false" outlineLevel="0" collapsed="false">
      <c r="A330" s="10"/>
      <c r="C330" s="8"/>
    </row>
    <row r="331" customFormat="false" ht="15" hidden="false" customHeight="false" outlineLevel="0" collapsed="false">
      <c r="A331" s="10"/>
      <c r="C331" s="8"/>
    </row>
    <row r="332" customFormat="false" ht="15" hidden="false" customHeight="false" outlineLevel="0" collapsed="false">
      <c r="A332" s="10"/>
      <c r="C332" s="8"/>
    </row>
    <row r="333" customFormat="false" ht="15" hidden="false" customHeight="false" outlineLevel="0" collapsed="false">
      <c r="A333" s="10"/>
      <c r="C333" s="8"/>
    </row>
    <row r="334" customFormat="false" ht="15" hidden="false" customHeight="false" outlineLevel="0" collapsed="false">
      <c r="A334" s="10"/>
      <c r="C334" s="8"/>
    </row>
    <row r="335" customFormat="false" ht="15" hidden="false" customHeight="false" outlineLevel="0" collapsed="false">
      <c r="A335" s="10"/>
      <c r="C335" s="8"/>
    </row>
    <row r="336" customFormat="false" ht="15" hidden="false" customHeight="false" outlineLevel="0" collapsed="false">
      <c r="A336" s="10"/>
      <c r="C336" s="8"/>
    </row>
    <row r="337" customFormat="false" ht="15" hidden="false" customHeight="false" outlineLevel="0" collapsed="false">
      <c r="A337" s="10"/>
      <c r="C337" s="8"/>
    </row>
    <row r="338" customFormat="false" ht="15" hidden="false" customHeight="false" outlineLevel="0" collapsed="false">
      <c r="A338" s="10"/>
      <c r="C338" s="8"/>
    </row>
    <row r="339" customFormat="false" ht="15" hidden="false" customHeight="false" outlineLevel="0" collapsed="false">
      <c r="A339" s="10"/>
      <c r="C339" s="8"/>
    </row>
    <row r="340" customFormat="false" ht="15" hidden="false" customHeight="false" outlineLevel="0" collapsed="false">
      <c r="A340" s="10"/>
      <c r="C340" s="8"/>
    </row>
    <row r="341" customFormat="false" ht="15" hidden="false" customHeight="false" outlineLevel="0" collapsed="false">
      <c r="A341" s="10"/>
      <c r="C341" s="8"/>
    </row>
    <row r="342" customFormat="false" ht="15" hidden="false" customHeight="false" outlineLevel="0" collapsed="false">
      <c r="A342" s="10"/>
      <c r="C342" s="8"/>
    </row>
    <row r="343" customFormat="false" ht="15" hidden="false" customHeight="false" outlineLevel="0" collapsed="false">
      <c r="A343" s="10"/>
      <c r="C343" s="8"/>
    </row>
    <row r="344" customFormat="false" ht="15" hidden="false" customHeight="false" outlineLevel="0" collapsed="false">
      <c r="A344" s="10"/>
      <c r="C344" s="8"/>
    </row>
    <row r="345" customFormat="false" ht="15" hidden="false" customHeight="false" outlineLevel="0" collapsed="false">
      <c r="A345" s="10"/>
      <c r="C345" s="8"/>
    </row>
    <row r="346" customFormat="false" ht="15" hidden="false" customHeight="false" outlineLevel="0" collapsed="false">
      <c r="A346" s="10"/>
      <c r="C346" s="8"/>
    </row>
    <row r="347" customFormat="false" ht="15" hidden="false" customHeight="false" outlineLevel="0" collapsed="false">
      <c r="A347" s="10"/>
      <c r="C347" s="8"/>
    </row>
    <row r="348" customFormat="false" ht="15" hidden="false" customHeight="false" outlineLevel="0" collapsed="false">
      <c r="A348" s="10"/>
      <c r="C348" s="8"/>
    </row>
    <row r="349" customFormat="false" ht="15" hidden="false" customHeight="false" outlineLevel="0" collapsed="false">
      <c r="A349" s="10"/>
      <c r="C349" s="8"/>
    </row>
    <row r="350" customFormat="false" ht="15" hidden="false" customHeight="false" outlineLevel="0" collapsed="false">
      <c r="A350" s="10"/>
      <c r="C350" s="8"/>
    </row>
    <row r="351" customFormat="false" ht="15" hidden="false" customHeight="false" outlineLevel="0" collapsed="false">
      <c r="A351" s="10"/>
      <c r="C351" s="8"/>
    </row>
    <row r="352" customFormat="false" ht="15" hidden="false" customHeight="false" outlineLevel="0" collapsed="false">
      <c r="A352" s="10"/>
      <c r="C352" s="8"/>
    </row>
    <row r="353" customFormat="false" ht="15" hidden="false" customHeight="false" outlineLevel="0" collapsed="false">
      <c r="A353" s="10"/>
      <c r="C353" s="8"/>
    </row>
    <row r="354" customFormat="false" ht="15" hidden="false" customHeight="false" outlineLevel="0" collapsed="false">
      <c r="A354" s="10"/>
      <c r="C354" s="8"/>
    </row>
    <row r="355" customFormat="false" ht="15" hidden="false" customHeight="false" outlineLevel="0" collapsed="false">
      <c r="A355" s="10"/>
      <c r="C355" s="8"/>
    </row>
    <row r="356" customFormat="false" ht="15" hidden="false" customHeight="false" outlineLevel="0" collapsed="false">
      <c r="A356" s="10"/>
      <c r="C356" s="8"/>
    </row>
    <row r="357" customFormat="false" ht="15" hidden="false" customHeight="false" outlineLevel="0" collapsed="false">
      <c r="A357" s="10"/>
      <c r="C357" s="8"/>
    </row>
    <row r="358" customFormat="false" ht="15" hidden="false" customHeight="false" outlineLevel="0" collapsed="false">
      <c r="A358" s="10"/>
      <c r="C358" s="8"/>
    </row>
    <row r="359" customFormat="false" ht="15" hidden="false" customHeight="false" outlineLevel="0" collapsed="false">
      <c r="A359" s="10"/>
      <c r="C359" s="8"/>
    </row>
    <row r="360" customFormat="false" ht="15" hidden="false" customHeight="false" outlineLevel="0" collapsed="false">
      <c r="A360" s="10"/>
      <c r="C360" s="8"/>
    </row>
    <row r="361" customFormat="false" ht="15" hidden="false" customHeight="false" outlineLevel="0" collapsed="false">
      <c r="A361" s="10"/>
      <c r="C361" s="8"/>
    </row>
    <row r="362" customFormat="false" ht="15" hidden="false" customHeight="false" outlineLevel="0" collapsed="false">
      <c r="A362" s="10"/>
      <c r="C362" s="8"/>
    </row>
    <row r="363" customFormat="false" ht="15" hidden="false" customHeight="false" outlineLevel="0" collapsed="false">
      <c r="A363" s="10"/>
      <c r="C363" s="8"/>
    </row>
    <row r="364" customFormat="false" ht="15" hidden="false" customHeight="false" outlineLevel="0" collapsed="false">
      <c r="A364" s="10"/>
      <c r="C364" s="8"/>
    </row>
    <row r="365" customFormat="false" ht="15" hidden="false" customHeight="false" outlineLevel="0" collapsed="false">
      <c r="A365" s="10"/>
      <c r="C365" s="8"/>
    </row>
    <row r="366" customFormat="false" ht="15" hidden="false" customHeight="false" outlineLevel="0" collapsed="false">
      <c r="A366" s="10"/>
      <c r="C366" s="8"/>
    </row>
    <row r="367" customFormat="false" ht="15" hidden="false" customHeight="false" outlineLevel="0" collapsed="false">
      <c r="A367" s="10"/>
      <c r="C367" s="8"/>
    </row>
    <row r="368" customFormat="false" ht="15" hidden="false" customHeight="false" outlineLevel="0" collapsed="false">
      <c r="A368" s="10"/>
      <c r="C368" s="8"/>
    </row>
    <row r="369" customFormat="false" ht="15" hidden="false" customHeight="false" outlineLevel="0" collapsed="false">
      <c r="A369" s="10"/>
      <c r="C369" s="8"/>
    </row>
    <row r="370" customFormat="false" ht="15" hidden="false" customHeight="false" outlineLevel="0" collapsed="false">
      <c r="A370" s="10"/>
      <c r="C370" s="8"/>
    </row>
    <row r="371" customFormat="false" ht="15" hidden="false" customHeight="false" outlineLevel="0" collapsed="false">
      <c r="A371" s="10"/>
      <c r="C371" s="8"/>
    </row>
    <row r="372" customFormat="false" ht="15" hidden="false" customHeight="false" outlineLevel="0" collapsed="false">
      <c r="A372" s="10"/>
      <c r="C372" s="8"/>
    </row>
    <row r="373" customFormat="false" ht="15" hidden="false" customHeight="false" outlineLevel="0" collapsed="false">
      <c r="A373" s="10"/>
      <c r="C373" s="8"/>
    </row>
    <row r="374" customFormat="false" ht="15" hidden="false" customHeight="false" outlineLevel="0" collapsed="false">
      <c r="A374" s="10"/>
      <c r="C374" s="8"/>
    </row>
    <row r="375" customFormat="false" ht="15" hidden="false" customHeight="false" outlineLevel="0" collapsed="false">
      <c r="A375" s="10"/>
      <c r="C375" s="8"/>
    </row>
    <row r="376" customFormat="false" ht="15" hidden="false" customHeight="false" outlineLevel="0" collapsed="false">
      <c r="A376" s="10"/>
      <c r="C376" s="8"/>
    </row>
    <row r="377" customFormat="false" ht="15" hidden="false" customHeight="false" outlineLevel="0" collapsed="false">
      <c r="A377" s="10"/>
      <c r="C377" s="8"/>
    </row>
    <row r="378" customFormat="false" ht="15" hidden="false" customHeight="false" outlineLevel="0" collapsed="false">
      <c r="A378" s="10"/>
      <c r="C378" s="8"/>
    </row>
    <row r="379" customFormat="false" ht="15" hidden="false" customHeight="false" outlineLevel="0" collapsed="false">
      <c r="A379" s="10"/>
      <c r="C379" s="8"/>
    </row>
    <row r="380" customFormat="false" ht="15" hidden="false" customHeight="false" outlineLevel="0" collapsed="false">
      <c r="A380" s="10"/>
      <c r="C380" s="8"/>
    </row>
    <row r="381" customFormat="false" ht="15" hidden="false" customHeight="false" outlineLevel="0" collapsed="false">
      <c r="A381" s="10"/>
      <c r="C381" s="8"/>
    </row>
    <row r="382" customFormat="false" ht="15" hidden="false" customHeight="false" outlineLevel="0" collapsed="false">
      <c r="A382" s="10"/>
      <c r="C382" s="8"/>
    </row>
    <row r="383" customFormat="false" ht="15" hidden="false" customHeight="false" outlineLevel="0" collapsed="false">
      <c r="A383" s="10"/>
      <c r="C383" s="8"/>
    </row>
    <row r="384" customFormat="false" ht="15" hidden="false" customHeight="false" outlineLevel="0" collapsed="false">
      <c r="A384" s="10"/>
      <c r="C384" s="8"/>
    </row>
    <row r="385" customFormat="false" ht="15" hidden="false" customHeight="false" outlineLevel="0" collapsed="false">
      <c r="A385" s="10"/>
      <c r="C385" s="8"/>
    </row>
    <row r="386" customFormat="false" ht="15" hidden="false" customHeight="false" outlineLevel="0" collapsed="false">
      <c r="A386" s="10"/>
      <c r="C386" s="8"/>
    </row>
    <row r="387" customFormat="false" ht="15" hidden="false" customHeight="false" outlineLevel="0" collapsed="false">
      <c r="A387" s="10"/>
      <c r="C387" s="8"/>
    </row>
    <row r="388" customFormat="false" ht="15" hidden="false" customHeight="false" outlineLevel="0" collapsed="false">
      <c r="A388" s="10"/>
      <c r="C388" s="8"/>
    </row>
    <row r="389" customFormat="false" ht="15" hidden="false" customHeight="false" outlineLevel="0" collapsed="false">
      <c r="A389" s="10"/>
      <c r="C389" s="8"/>
    </row>
    <row r="390" customFormat="false" ht="15" hidden="false" customHeight="false" outlineLevel="0" collapsed="false">
      <c r="A390" s="10"/>
      <c r="C390" s="8"/>
    </row>
    <row r="391" customFormat="false" ht="15" hidden="false" customHeight="false" outlineLevel="0" collapsed="false">
      <c r="A391" s="10"/>
      <c r="C391" s="8"/>
    </row>
    <row r="392" customFormat="false" ht="15" hidden="false" customHeight="false" outlineLevel="0" collapsed="false">
      <c r="A392" s="10"/>
      <c r="C392" s="8"/>
    </row>
    <row r="393" customFormat="false" ht="15" hidden="false" customHeight="false" outlineLevel="0" collapsed="false">
      <c r="A393" s="10"/>
      <c r="C393" s="8"/>
    </row>
    <row r="394" customFormat="false" ht="15" hidden="false" customHeight="false" outlineLevel="0" collapsed="false">
      <c r="A394" s="10"/>
      <c r="C394" s="8"/>
    </row>
    <row r="395" customFormat="false" ht="15" hidden="false" customHeight="false" outlineLevel="0" collapsed="false">
      <c r="A395" s="10"/>
      <c r="C395" s="8"/>
    </row>
    <row r="396" customFormat="false" ht="15" hidden="false" customHeight="false" outlineLevel="0" collapsed="false">
      <c r="A396" s="10"/>
      <c r="C396" s="8"/>
    </row>
    <row r="397" customFormat="false" ht="15" hidden="false" customHeight="false" outlineLevel="0" collapsed="false">
      <c r="A397" s="10"/>
      <c r="C397" s="8"/>
    </row>
    <row r="398" customFormat="false" ht="15" hidden="false" customHeight="false" outlineLevel="0" collapsed="false">
      <c r="A398" s="10"/>
      <c r="C398" s="8"/>
    </row>
    <row r="399" customFormat="false" ht="15" hidden="false" customHeight="false" outlineLevel="0" collapsed="false">
      <c r="A399" s="10"/>
      <c r="C399" s="8"/>
    </row>
    <row r="400" customFormat="false" ht="15" hidden="false" customHeight="false" outlineLevel="0" collapsed="false">
      <c r="A400" s="10"/>
      <c r="C400" s="8"/>
    </row>
    <row r="401" customFormat="false" ht="15" hidden="false" customHeight="false" outlineLevel="0" collapsed="false">
      <c r="A401" s="10"/>
      <c r="C401" s="8"/>
    </row>
    <row r="402" customFormat="false" ht="15" hidden="false" customHeight="false" outlineLevel="0" collapsed="false">
      <c r="A402" s="10"/>
      <c r="C402" s="8"/>
    </row>
    <row r="403" customFormat="false" ht="15" hidden="false" customHeight="false" outlineLevel="0" collapsed="false">
      <c r="A403" s="10"/>
      <c r="C403" s="8"/>
    </row>
    <row r="404" customFormat="false" ht="15" hidden="false" customHeight="false" outlineLevel="0" collapsed="false">
      <c r="A404" s="10"/>
      <c r="C404" s="8"/>
    </row>
    <row r="405" customFormat="false" ht="15" hidden="false" customHeight="false" outlineLevel="0" collapsed="false">
      <c r="A405" s="10"/>
      <c r="C405" s="8"/>
    </row>
    <row r="406" customFormat="false" ht="15" hidden="false" customHeight="false" outlineLevel="0" collapsed="false">
      <c r="A406" s="10"/>
      <c r="C406" s="8"/>
    </row>
    <row r="407" customFormat="false" ht="15" hidden="false" customHeight="false" outlineLevel="0" collapsed="false">
      <c r="A407" s="10"/>
      <c r="C407" s="8"/>
    </row>
    <row r="408" customFormat="false" ht="15" hidden="false" customHeight="false" outlineLevel="0" collapsed="false">
      <c r="A408" s="10"/>
      <c r="C408" s="8"/>
    </row>
    <row r="409" customFormat="false" ht="15" hidden="false" customHeight="false" outlineLevel="0" collapsed="false">
      <c r="A409" s="10"/>
      <c r="C409" s="8"/>
    </row>
    <row r="410" customFormat="false" ht="15" hidden="false" customHeight="false" outlineLevel="0" collapsed="false">
      <c r="A410" s="10"/>
      <c r="C410" s="8"/>
    </row>
    <row r="411" customFormat="false" ht="15" hidden="false" customHeight="false" outlineLevel="0" collapsed="false">
      <c r="A411" s="10"/>
      <c r="C411" s="8"/>
    </row>
    <row r="412" customFormat="false" ht="15" hidden="false" customHeight="false" outlineLevel="0" collapsed="false">
      <c r="A412" s="10"/>
      <c r="C412" s="8"/>
    </row>
    <row r="413" customFormat="false" ht="15" hidden="false" customHeight="false" outlineLevel="0" collapsed="false">
      <c r="A413" s="10"/>
      <c r="C413" s="8"/>
    </row>
    <row r="414" customFormat="false" ht="15" hidden="false" customHeight="false" outlineLevel="0" collapsed="false">
      <c r="A414" s="10"/>
      <c r="C414" s="8"/>
    </row>
    <row r="415" customFormat="false" ht="15" hidden="false" customHeight="false" outlineLevel="0" collapsed="false">
      <c r="A415" s="10"/>
      <c r="C415" s="8"/>
    </row>
    <row r="416" customFormat="false" ht="15" hidden="false" customHeight="false" outlineLevel="0" collapsed="false">
      <c r="A416" s="10"/>
      <c r="C416" s="8"/>
    </row>
    <row r="417" customFormat="false" ht="15" hidden="false" customHeight="false" outlineLevel="0" collapsed="false">
      <c r="A417" s="10"/>
      <c r="C417" s="8"/>
    </row>
    <row r="418" customFormat="false" ht="15" hidden="false" customHeight="false" outlineLevel="0" collapsed="false">
      <c r="A418" s="10"/>
      <c r="C418" s="8"/>
    </row>
    <row r="419" customFormat="false" ht="15" hidden="false" customHeight="false" outlineLevel="0" collapsed="false">
      <c r="A419" s="10"/>
      <c r="C419" s="8"/>
    </row>
    <row r="420" customFormat="false" ht="15" hidden="false" customHeight="false" outlineLevel="0" collapsed="false">
      <c r="A420" s="10"/>
      <c r="C420" s="8"/>
    </row>
    <row r="421" customFormat="false" ht="15" hidden="false" customHeight="false" outlineLevel="0" collapsed="false">
      <c r="A421" s="10"/>
      <c r="C421" s="8"/>
    </row>
    <row r="422" customFormat="false" ht="15" hidden="false" customHeight="false" outlineLevel="0" collapsed="false">
      <c r="A422" s="10"/>
      <c r="C422" s="8"/>
    </row>
    <row r="423" customFormat="false" ht="15" hidden="false" customHeight="false" outlineLevel="0" collapsed="false">
      <c r="A423" s="10"/>
      <c r="C423" s="8"/>
    </row>
    <row r="424" customFormat="false" ht="15" hidden="false" customHeight="false" outlineLevel="0" collapsed="false">
      <c r="A424" s="10"/>
      <c r="C424" s="8"/>
    </row>
    <row r="425" customFormat="false" ht="15" hidden="false" customHeight="false" outlineLevel="0" collapsed="false">
      <c r="A425" s="10"/>
      <c r="C425" s="8"/>
    </row>
    <row r="426" customFormat="false" ht="15" hidden="false" customHeight="false" outlineLevel="0" collapsed="false">
      <c r="A426" s="10"/>
      <c r="C426" s="8"/>
    </row>
    <row r="427" customFormat="false" ht="15" hidden="false" customHeight="false" outlineLevel="0" collapsed="false">
      <c r="A427" s="10"/>
      <c r="C427" s="8"/>
    </row>
    <row r="428" customFormat="false" ht="15" hidden="false" customHeight="false" outlineLevel="0" collapsed="false">
      <c r="A428" s="10"/>
      <c r="C428" s="8"/>
    </row>
    <row r="429" customFormat="false" ht="15" hidden="false" customHeight="false" outlineLevel="0" collapsed="false">
      <c r="A429" s="10"/>
      <c r="C429" s="8"/>
    </row>
    <row r="430" customFormat="false" ht="15" hidden="false" customHeight="false" outlineLevel="0" collapsed="false">
      <c r="A430" s="10"/>
      <c r="C430" s="8"/>
    </row>
    <row r="431" customFormat="false" ht="15" hidden="false" customHeight="false" outlineLevel="0" collapsed="false">
      <c r="A431" s="10"/>
      <c r="C431" s="8"/>
    </row>
    <row r="432" customFormat="false" ht="15" hidden="false" customHeight="false" outlineLevel="0" collapsed="false">
      <c r="A432" s="10"/>
      <c r="C432" s="8"/>
    </row>
    <row r="433" customFormat="false" ht="15" hidden="false" customHeight="false" outlineLevel="0" collapsed="false">
      <c r="A433" s="10"/>
      <c r="C433" s="8"/>
    </row>
    <row r="434" customFormat="false" ht="15" hidden="false" customHeight="false" outlineLevel="0" collapsed="false">
      <c r="A434" s="10"/>
      <c r="C434" s="8"/>
    </row>
    <row r="435" customFormat="false" ht="15" hidden="false" customHeight="false" outlineLevel="0" collapsed="false">
      <c r="A435" s="10"/>
      <c r="C435" s="8"/>
    </row>
    <row r="436" customFormat="false" ht="15" hidden="false" customHeight="false" outlineLevel="0" collapsed="false">
      <c r="A436" s="10"/>
      <c r="C436" s="8"/>
    </row>
    <row r="437" customFormat="false" ht="15" hidden="false" customHeight="false" outlineLevel="0" collapsed="false">
      <c r="A437" s="10"/>
      <c r="C437" s="8"/>
    </row>
    <row r="438" customFormat="false" ht="15" hidden="false" customHeight="false" outlineLevel="0" collapsed="false">
      <c r="A438" s="10"/>
      <c r="C438" s="8"/>
    </row>
    <row r="439" customFormat="false" ht="15" hidden="false" customHeight="false" outlineLevel="0" collapsed="false">
      <c r="A439" s="10"/>
      <c r="C439" s="8"/>
    </row>
    <row r="440" customFormat="false" ht="15" hidden="false" customHeight="false" outlineLevel="0" collapsed="false">
      <c r="A440" s="10"/>
      <c r="C440" s="8"/>
    </row>
    <row r="441" customFormat="false" ht="15" hidden="false" customHeight="false" outlineLevel="0" collapsed="false">
      <c r="A441" s="10"/>
      <c r="C441" s="8"/>
    </row>
    <row r="442" customFormat="false" ht="15" hidden="false" customHeight="false" outlineLevel="0" collapsed="false">
      <c r="A442" s="10"/>
      <c r="C442" s="8"/>
    </row>
    <row r="443" customFormat="false" ht="15" hidden="false" customHeight="false" outlineLevel="0" collapsed="false">
      <c r="A443" s="10"/>
      <c r="C443" s="8"/>
    </row>
    <row r="444" customFormat="false" ht="15" hidden="false" customHeight="false" outlineLevel="0" collapsed="false">
      <c r="A444" s="10"/>
      <c r="C444" s="8"/>
    </row>
    <row r="445" customFormat="false" ht="15" hidden="false" customHeight="false" outlineLevel="0" collapsed="false">
      <c r="A445" s="10"/>
      <c r="C445" s="8"/>
    </row>
    <row r="446" customFormat="false" ht="15" hidden="false" customHeight="false" outlineLevel="0" collapsed="false">
      <c r="A446" s="10"/>
      <c r="C446" s="8"/>
    </row>
    <row r="447" customFormat="false" ht="15" hidden="false" customHeight="false" outlineLevel="0" collapsed="false">
      <c r="A447" s="10"/>
      <c r="C447" s="8"/>
    </row>
    <row r="448" customFormat="false" ht="15" hidden="false" customHeight="false" outlineLevel="0" collapsed="false">
      <c r="A448" s="10"/>
      <c r="C448" s="8"/>
    </row>
    <row r="449" customFormat="false" ht="15" hidden="false" customHeight="false" outlineLevel="0" collapsed="false">
      <c r="A449" s="10"/>
      <c r="C449" s="8"/>
    </row>
    <row r="450" customFormat="false" ht="15" hidden="false" customHeight="false" outlineLevel="0" collapsed="false">
      <c r="A450" s="10"/>
      <c r="C450" s="8"/>
    </row>
    <row r="451" customFormat="false" ht="15" hidden="false" customHeight="false" outlineLevel="0" collapsed="false">
      <c r="A451" s="10"/>
      <c r="C451" s="8"/>
    </row>
    <row r="452" customFormat="false" ht="15" hidden="false" customHeight="false" outlineLevel="0" collapsed="false">
      <c r="A452" s="10"/>
      <c r="C452" s="8"/>
    </row>
    <row r="453" customFormat="false" ht="15" hidden="false" customHeight="false" outlineLevel="0" collapsed="false">
      <c r="A453" s="10"/>
      <c r="C453" s="8"/>
    </row>
    <row r="454" customFormat="false" ht="15" hidden="false" customHeight="false" outlineLevel="0" collapsed="false">
      <c r="A454" s="10"/>
      <c r="C454" s="8"/>
    </row>
    <row r="455" customFormat="false" ht="15" hidden="false" customHeight="false" outlineLevel="0" collapsed="false">
      <c r="A455" s="10"/>
      <c r="C455" s="8"/>
    </row>
    <row r="456" customFormat="false" ht="15" hidden="false" customHeight="false" outlineLevel="0" collapsed="false">
      <c r="A456" s="10"/>
      <c r="C456" s="8"/>
    </row>
    <row r="457" customFormat="false" ht="15" hidden="false" customHeight="false" outlineLevel="0" collapsed="false">
      <c r="A457" s="10"/>
      <c r="C457" s="8"/>
    </row>
    <row r="458" customFormat="false" ht="15" hidden="false" customHeight="false" outlineLevel="0" collapsed="false">
      <c r="A458" s="10"/>
      <c r="C458" s="8"/>
    </row>
    <row r="459" customFormat="false" ht="15" hidden="false" customHeight="false" outlineLevel="0" collapsed="false">
      <c r="A459" s="10"/>
      <c r="C459" s="8"/>
    </row>
    <row r="460" customFormat="false" ht="15" hidden="false" customHeight="false" outlineLevel="0" collapsed="false">
      <c r="A460" s="10"/>
      <c r="C460" s="8"/>
    </row>
    <row r="461" customFormat="false" ht="15" hidden="false" customHeight="false" outlineLevel="0" collapsed="false">
      <c r="A461" s="10"/>
      <c r="C461" s="8"/>
    </row>
    <row r="462" customFormat="false" ht="15" hidden="false" customHeight="false" outlineLevel="0" collapsed="false">
      <c r="A462" s="10"/>
      <c r="C462" s="8"/>
    </row>
    <row r="463" customFormat="false" ht="15" hidden="false" customHeight="false" outlineLevel="0" collapsed="false">
      <c r="A463" s="10"/>
      <c r="C463" s="8"/>
    </row>
    <row r="464" customFormat="false" ht="15" hidden="false" customHeight="false" outlineLevel="0" collapsed="false">
      <c r="A464" s="10"/>
      <c r="C464" s="8"/>
    </row>
    <row r="465" customFormat="false" ht="15" hidden="false" customHeight="false" outlineLevel="0" collapsed="false">
      <c r="A465" s="10"/>
      <c r="C465" s="8"/>
    </row>
    <row r="466" customFormat="false" ht="15" hidden="false" customHeight="false" outlineLevel="0" collapsed="false">
      <c r="A466" s="10"/>
      <c r="C466" s="8"/>
    </row>
    <row r="467" customFormat="false" ht="15" hidden="false" customHeight="false" outlineLevel="0" collapsed="false">
      <c r="A467" s="10"/>
      <c r="C467" s="8"/>
    </row>
    <row r="468" customFormat="false" ht="15" hidden="false" customHeight="false" outlineLevel="0" collapsed="false">
      <c r="A468" s="10"/>
      <c r="C468" s="8"/>
    </row>
    <row r="469" customFormat="false" ht="15" hidden="false" customHeight="false" outlineLevel="0" collapsed="false">
      <c r="A469" s="10"/>
      <c r="C469" s="8"/>
    </row>
    <row r="470" customFormat="false" ht="15" hidden="false" customHeight="false" outlineLevel="0" collapsed="false">
      <c r="A470" s="10"/>
      <c r="C470" s="8"/>
    </row>
    <row r="471" customFormat="false" ht="15" hidden="false" customHeight="false" outlineLevel="0" collapsed="false">
      <c r="A471" s="10"/>
      <c r="C471" s="8"/>
    </row>
    <row r="472" customFormat="false" ht="15" hidden="false" customHeight="false" outlineLevel="0" collapsed="false">
      <c r="A472" s="10"/>
      <c r="C472" s="8"/>
    </row>
    <row r="473" customFormat="false" ht="15" hidden="false" customHeight="false" outlineLevel="0" collapsed="false">
      <c r="A473" s="10"/>
      <c r="C473" s="8"/>
    </row>
    <row r="474" customFormat="false" ht="15" hidden="false" customHeight="false" outlineLevel="0" collapsed="false">
      <c r="A474" s="10"/>
      <c r="C474" s="8"/>
    </row>
    <row r="475" customFormat="false" ht="15" hidden="false" customHeight="false" outlineLevel="0" collapsed="false">
      <c r="A475" s="10"/>
      <c r="C475" s="8"/>
    </row>
    <row r="476" customFormat="false" ht="15" hidden="false" customHeight="false" outlineLevel="0" collapsed="false">
      <c r="A476" s="10"/>
      <c r="C476" s="8"/>
    </row>
    <row r="477" customFormat="false" ht="15" hidden="false" customHeight="false" outlineLevel="0" collapsed="false">
      <c r="A477" s="10"/>
      <c r="C477" s="8"/>
    </row>
    <row r="478" customFormat="false" ht="15" hidden="false" customHeight="false" outlineLevel="0" collapsed="false">
      <c r="A478" s="10"/>
      <c r="C478" s="8"/>
    </row>
    <row r="479" customFormat="false" ht="15" hidden="false" customHeight="false" outlineLevel="0" collapsed="false">
      <c r="A479" s="10"/>
      <c r="C479" s="8"/>
    </row>
    <row r="480" customFormat="false" ht="15" hidden="false" customHeight="false" outlineLevel="0" collapsed="false">
      <c r="A480" s="10"/>
      <c r="C480" s="8"/>
    </row>
    <row r="481" customFormat="false" ht="15" hidden="false" customHeight="false" outlineLevel="0" collapsed="false">
      <c r="A481" s="10"/>
      <c r="C481" s="8"/>
    </row>
    <row r="482" customFormat="false" ht="15" hidden="false" customHeight="false" outlineLevel="0" collapsed="false">
      <c r="A482" s="10"/>
      <c r="C482" s="8"/>
    </row>
    <row r="483" customFormat="false" ht="15" hidden="false" customHeight="false" outlineLevel="0" collapsed="false">
      <c r="A483" s="10"/>
      <c r="C483" s="8"/>
    </row>
    <row r="484" customFormat="false" ht="15" hidden="false" customHeight="false" outlineLevel="0" collapsed="false">
      <c r="A484" s="10"/>
      <c r="C484" s="8"/>
    </row>
    <row r="485" customFormat="false" ht="15" hidden="false" customHeight="false" outlineLevel="0" collapsed="false">
      <c r="A485" s="10"/>
      <c r="C485" s="8"/>
    </row>
    <row r="486" customFormat="false" ht="15" hidden="false" customHeight="false" outlineLevel="0" collapsed="false">
      <c r="A486" s="10"/>
      <c r="C486" s="8"/>
    </row>
    <row r="487" customFormat="false" ht="15" hidden="false" customHeight="false" outlineLevel="0" collapsed="false">
      <c r="A487" s="10"/>
      <c r="C487" s="8"/>
    </row>
    <row r="488" customFormat="false" ht="15" hidden="false" customHeight="false" outlineLevel="0" collapsed="false">
      <c r="A488" s="10"/>
      <c r="C488" s="8"/>
    </row>
    <row r="489" customFormat="false" ht="15" hidden="false" customHeight="false" outlineLevel="0" collapsed="false">
      <c r="A489" s="10"/>
      <c r="C489" s="8"/>
    </row>
    <row r="490" customFormat="false" ht="15" hidden="false" customHeight="false" outlineLevel="0" collapsed="false">
      <c r="A490" s="10"/>
      <c r="C490" s="8"/>
    </row>
    <row r="491" customFormat="false" ht="15" hidden="false" customHeight="false" outlineLevel="0" collapsed="false">
      <c r="A491" s="10"/>
      <c r="C491" s="8"/>
    </row>
    <row r="492" customFormat="false" ht="15" hidden="false" customHeight="false" outlineLevel="0" collapsed="false">
      <c r="A492" s="10"/>
      <c r="C492" s="8"/>
    </row>
    <row r="493" customFormat="false" ht="15" hidden="false" customHeight="false" outlineLevel="0" collapsed="false">
      <c r="A493" s="10"/>
      <c r="C493" s="8"/>
    </row>
    <row r="494" customFormat="false" ht="15" hidden="false" customHeight="false" outlineLevel="0" collapsed="false">
      <c r="A494" s="10"/>
      <c r="C494" s="8"/>
    </row>
    <row r="495" customFormat="false" ht="15" hidden="false" customHeight="false" outlineLevel="0" collapsed="false">
      <c r="A495" s="10"/>
      <c r="C495" s="8"/>
    </row>
    <row r="496" customFormat="false" ht="15" hidden="false" customHeight="false" outlineLevel="0" collapsed="false">
      <c r="A496" s="10"/>
      <c r="C496" s="8"/>
    </row>
    <row r="497" customFormat="false" ht="15" hidden="false" customHeight="false" outlineLevel="0" collapsed="false">
      <c r="A497" s="10"/>
      <c r="C497" s="8"/>
    </row>
    <row r="498" customFormat="false" ht="15" hidden="false" customHeight="false" outlineLevel="0" collapsed="false">
      <c r="A498" s="10"/>
      <c r="C498" s="8"/>
    </row>
    <row r="499" customFormat="false" ht="15" hidden="false" customHeight="false" outlineLevel="0" collapsed="false">
      <c r="A499" s="10"/>
      <c r="C499" s="8"/>
    </row>
    <row r="500" customFormat="false" ht="15" hidden="false" customHeight="false" outlineLevel="0" collapsed="false">
      <c r="A500" s="10"/>
      <c r="C500" s="8"/>
    </row>
    <row r="503" customFormat="false" ht="15" hidden="false" customHeight="false" outlineLevel="0" collapsed="false">
      <c r="A503" s="1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38</v>
      </c>
      <c r="B1" s="4" t="s">
        <v>46</v>
      </c>
      <c r="C1" s="4" t="s">
        <v>47</v>
      </c>
      <c r="D1" s="4" t="s">
        <v>39</v>
      </c>
      <c r="E1" s="4" t="s">
        <v>48</v>
      </c>
      <c r="F1" s="4" t="s">
        <v>29</v>
      </c>
    </row>
    <row r="2" customFormat="false" ht="15" hidden="false" customHeight="false" outlineLevel="0" collapsed="false">
      <c r="A2" s="7" t="n">
        <v>46222</v>
      </c>
      <c r="B2" s="5" t="s">
        <v>49</v>
      </c>
      <c r="C2" s="5" t="s">
        <v>50</v>
      </c>
      <c r="D2" s="12" t="n">
        <v>12</v>
      </c>
      <c r="E2" s="5" t="s">
        <v>51</v>
      </c>
      <c r="F2" s="5" t="s">
        <v>52</v>
      </c>
    </row>
    <row r="3" customFormat="false" ht="15" hidden="false" customHeight="false" outlineLevel="0" collapsed="false">
      <c r="A3" s="7" t="n">
        <v>46222</v>
      </c>
      <c r="B3" s="5" t="s">
        <v>20</v>
      </c>
      <c r="C3" s="5" t="s">
        <v>53</v>
      </c>
      <c r="D3" s="12" t="n">
        <v>7</v>
      </c>
      <c r="E3" s="5" t="s">
        <v>54</v>
      </c>
      <c r="F3" s="5" t="s">
        <v>55</v>
      </c>
    </row>
    <row r="4" customFormat="false" ht="15" hidden="false" customHeight="false" outlineLevel="0" collapsed="false">
      <c r="A4" s="7" t="n">
        <v>46223</v>
      </c>
      <c r="B4" s="5" t="s">
        <v>56</v>
      </c>
      <c r="C4" s="5" t="s">
        <v>57</v>
      </c>
      <c r="D4" s="12" t="n">
        <v>0</v>
      </c>
      <c r="E4" s="5" t="s">
        <v>58</v>
      </c>
      <c r="F4" s="5" t="s">
        <v>59</v>
      </c>
    </row>
    <row r="5" customFormat="false" ht="15" hidden="false" customHeight="false" outlineLevel="0" collapsed="false">
      <c r="A5" s="7" t="n">
        <v>46223</v>
      </c>
      <c r="B5" s="5" t="s">
        <v>60</v>
      </c>
      <c r="C5" s="5" t="s">
        <v>61</v>
      </c>
      <c r="D5" s="12" t="n">
        <v>3.33</v>
      </c>
      <c r="E5" s="5" t="s">
        <v>62</v>
      </c>
      <c r="F5" s="5" t="s">
        <v>63</v>
      </c>
    </row>
    <row r="6" customFormat="false" ht="15" hidden="false" customHeight="false" outlineLevel="0" collapsed="false">
      <c r="A6" s="10"/>
      <c r="D6" s="13"/>
    </row>
    <row r="7" customFormat="false" ht="15" hidden="false" customHeight="false" outlineLevel="0" collapsed="false">
      <c r="A7" s="10"/>
      <c r="D7" s="13"/>
    </row>
    <row r="8" customFormat="false" ht="15" hidden="false" customHeight="false" outlineLevel="0" collapsed="false">
      <c r="A8" s="10"/>
      <c r="D8" s="13"/>
    </row>
    <row r="9" customFormat="false" ht="15" hidden="false" customHeight="false" outlineLevel="0" collapsed="false">
      <c r="A9" s="10"/>
      <c r="D9" s="13"/>
    </row>
    <row r="10" customFormat="false" ht="15" hidden="false" customHeight="false" outlineLevel="0" collapsed="false">
      <c r="A10" s="10"/>
      <c r="D10" s="13"/>
    </row>
    <row r="11" customFormat="false" ht="15" hidden="false" customHeight="false" outlineLevel="0" collapsed="false">
      <c r="A11" s="10"/>
      <c r="D11" s="13"/>
    </row>
    <row r="12" customFormat="false" ht="15" hidden="false" customHeight="false" outlineLevel="0" collapsed="false">
      <c r="A12" s="10"/>
      <c r="D12" s="13"/>
    </row>
    <row r="13" customFormat="false" ht="15" hidden="false" customHeight="false" outlineLevel="0" collapsed="false">
      <c r="A13" s="10"/>
      <c r="D13" s="13"/>
    </row>
    <row r="14" customFormat="false" ht="15" hidden="false" customHeight="false" outlineLevel="0" collapsed="false">
      <c r="A14" s="10"/>
      <c r="D14" s="13"/>
    </row>
    <row r="15" customFormat="false" ht="15" hidden="false" customHeight="false" outlineLevel="0" collapsed="false">
      <c r="A15" s="10"/>
      <c r="D15" s="13"/>
    </row>
    <row r="16" customFormat="false" ht="15" hidden="false" customHeight="false" outlineLevel="0" collapsed="false">
      <c r="A16" s="10"/>
      <c r="D16" s="13"/>
    </row>
    <row r="17" customFormat="false" ht="15" hidden="false" customHeight="false" outlineLevel="0" collapsed="false">
      <c r="A17" s="10"/>
      <c r="D17" s="13"/>
    </row>
    <row r="18" customFormat="false" ht="15" hidden="false" customHeight="false" outlineLevel="0" collapsed="false">
      <c r="A18" s="10"/>
      <c r="D18" s="13"/>
    </row>
    <row r="19" customFormat="false" ht="15" hidden="false" customHeight="false" outlineLevel="0" collapsed="false">
      <c r="A19" s="10"/>
      <c r="D19" s="13"/>
    </row>
    <row r="20" customFormat="false" ht="15" hidden="false" customHeight="false" outlineLevel="0" collapsed="false">
      <c r="A20" s="10"/>
      <c r="D20" s="13"/>
    </row>
    <row r="21" customFormat="false" ht="15" hidden="false" customHeight="false" outlineLevel="0" collapsed="false">
      <c r="A21" s="10"/>
      <c r="D21" s="13"/>
    </row>
    <row r="22" customFormat="false" ht="15" hidden="false" customHeight="false" outlineLevel="0" collapsed="false">
      <c r="A22" s="10"/>
      <c r="D22" s="13"/>
    </row>
    <row r="23" customFormat="false" ht="15" hidden="false" customHeight="false" outlineLevel="0" collapsed="false">
      <c r="A23" s="10"/>
      <c r="D23" s="13"/>
    </row>
    <row r="24" customFormat="false" ht="15" hidden="false" customHeight="false" outlineLevel="0" collapsed="false">
      <c r="A24" s="10"/>
      <c r="D24" s="13"/>
    </row>
    <row r="25" customFormat="false" ht="15" hidden="false" customHeight="false" outlineLevel="0" collapsed="false">
      <c r="A25" s="10"/>
      <c r="D25" s="13"/>
    </row>
    <row r="26" customFormat="false" ht="15" hidden="false" customHeight="false" outlineLevel="0" collapsed="false">
      <c r="A26" s="10"/>
      <c r="D26" s="13"/>
    </row>
    <row r="27" customFormat="false" ht="15" hidden="false" customHeight="false" outlineLevel="0" collapsed="false">
      <c r="A27" s="10"/>
      <c r="D27" s="13"/>
    </row>
    <row r="28" customFormat="false" ht="15" hidden="false" customHeight="false" outlineLevel="0" collapsed="false">
      <c r="A28" s="10"/>
      <c r="D28" s="13"/>
    </row>
    <row r="29" customFormat="false" ht="15" hidden="false" customHeight="false" outlineLevel="0" collapsed="false">
      <c r="A29" s="10"/>
      <c r="D29" s="13"/>
    </row>
    <row r="30" customFormat="false" ht="15" hidden="false" customHeight="false" outlineLevel="0" collapsed="false">
      <c r="A30" s="10"/>
      <c r="D30" s="13"/>
    </row>
    <row r="31" customFormat="false" ht="15" hidden="false" customHeight="false" outlineLevel="0" collapsed="false">
      <c r="A31" s="10"/>
      <c r="D31" s="13"/>
    </row>
    <row r="32" customFormat="false" ht="15" hidden="false" customHeight="false" outlineLevel="0" collapsed="false">
      <c r="A32" s="10"/>
      <c r="D32" s="13"/>
    </row>
    <row r="33" customFormat="false" ht="15" hidden="false" customHeight="false" outlineLevel="0" collapsed="false">
      <c r="A33" s="10"/>
      <c r="D33" s="13"/>
    </row>
    <row r="34" customFormat="false" ht="15" hidden="false" customHeight="false" outlineLevel="0" collapsed="false">
      <c r="A34" s="10"/>
      <c r="D34" s="13"/>
    </row>
    <row r="35" customFormat="false" ht="15" hidden="false" customHeight="false" outlineLevel="0" collapsed="false">
      <c r="A35" s="10"/>
      <c r="D35" s="13"/>
    </row>
    <row r="36" customFormat="false" ht="15" hidden="false" customHeight="false" outlineLevel="0" collapsed="false">
      <c r="A36" s="10"/>
      <c r="D36" s="13"/>
    </row>
    <row r="37" customFormat="false" ht="15" hidden="false" customHeight="false" outlineLevel="0" collapsed="false">
      <c r="A37" s="10"/>
      <c r="D37" s="13"/>
    </row>
    <row r="38" customFormat="false" ht="15" hidden="false" customHeight="false" outlineLevel="0" collapsed="false">
      <c r="A38" s="10"/>
      <c r="D38" s="13"/>
    </row>
    <row r="39" customFormat="false" ht="15" hidden="false" customHeight="false" outlineLevel="0" collapsed="false">
      <c r="A39" s="10"/>
      <c r="D39" s="13"/>
    </row>
    <row r="40" customFormat="false" ht="15" hidden="false" customHeight="false" outlineLevel="0" collapsed="false">
      <c r="A40" s="10"/>
      <c r="D40" s="13"/>
    </row>
    <row r="41" customFormat="false" ht="15" hidden="false" customHeight="false" outlineLevel="0" collapsed="false">
      <c r="A41" s="10"/>
      <c r="D41" s="13"/>
    </row>
    <row r="42" customFormat="false" ht="15" hidden="false" customHeight="false" outlineLevel="0" collapsed="false">
      <c r="A42" s="10"/>
      <c r="D42" s="13"/>
    </row>
    <row r="43" customFormat="false" ht="15" hidden="false" customHeight="false" outlineLevel="0" collapsed="false">
      <c r="A43" s="10"/>
      <c r="D43" s="13"/>
    </row>
    <row r="44" customFormat="false" ht="15" hidden="false" customHeight="false" outlineLevel="0" collapsed="false">
      <c r="A44" s="10"/>
      <c r="D44" s="13"/>
    </row>
    <row r="45" customFormat="false" ht="15" hidden="false" customHeight="false" outlineLevel="0" collapsed="false">
      <c r="A45" s="10"/>
      <c r="D45" s="13"/>
    </row>
    <row r="46" customFormat="false" ht="15" hidden="false" customHeight="false" outlineLevel="0" collapsed="false">
      <c r="A46" s="10"/>
      <c r="D46" s="13"/>
    </row>
    <row r="47" customFormat="false" ht="15" hidden="false" customHeight="false" outlineLevel="0" collapsed="false">
      <c r="A47" s="10"/>
      <c r="D47" s="13"/>
    </row>
    <row r="48" customFormat="false" ht="15" hidden="false" customHeight="false" outlineLevel="0" collapsed="false">
      <c r="A48" s="10"/>
      <c r="D48" s="13"/>
    </row>
    <row r="49" customFormat="false" ht="15" hidden="false" customHeight="false" outlineLevel="0" collapsed="false">
      <c r="A49" s="10"/>
      <c r="D49" s="13"/>
    </row>
    <row r="50" customFormat="false" ht="15" hidden="false" customHeight="false" outlineLevel="0" collapsed="false">
      <c r="A50" s="10"/>
      <c r="D50" s="13"/>
    </row>
    <row r="51" customFormat="false" ht="15" hidden="false" customHeight="false" outlineLevel="0" collapsed="false">
      <c r="A51" s="10"/>
      <c r="D51" s="13"/>
    </row>
    <row r="52" customFormat="false" ht="15" hidden="false" customHeight="false" outlineLevel="0" collapsed="false">
      <c r="A52" s="10"/>
      <c r="D52" s="13"/>
    </row>
    <row r="53" customFormat="false" ht="15" hidden="false" customHeight="false" outlineLevel="0" collapsed="false">
      <c r="A53" s="10"/>
      <c r="D53" s="13"/>
    </row>
    <row r="54" customFormat="false" ht="15" hidden="false" customHeight="false" outlineLevel="0" collapsed="false">
      <c r="A54" s="10"/>
      <c r="D54" s="13"/>
    </row>
    <row r="55" customFormat="false" ht="15" hidden="false" customHeight="false" outlineLevel="0" collapsed="false">
      <c r="A55" s="10"/>
      <c r="D55" s="13"/>
    </row>
    <row r="56" customFormat="false" ht="15" hidden="false" customHeight="false" outlineLevel="0" collapsed="false">
      <c r="A56" s="10"/>
      <c r="D56" s="13"/>
    </row>
    <row r="57" customFormat="false" ht="15" hidden="false" customHeight="false" outlineLevel="0" collapsed="false">
      <c r="A57" s="10"/>
      <c r="D57" s="13"/>
    </row>
    <row r="58" customFormat="false" ht="15" hidden="false" customHeight="false" outlineLevel="0" collapsed="false">
      <c r="A58" s="10"/>
      <c r="D58" s="13"/>
    </row>
    <row r="59" customFormat="false" ht="15" hidden="false" customHeight="false" outlineLevel="0" collapsed="false">
      <c r="A59" s="10"/>
      <c r="D59" s="13"/>
    </row>
    <row r="60" customFormat="false" ht="15" hidden="false" customHeight="false" outlineLevel="0" collapsed="false">
      <c r="A60" s="10"/>
      <c r="D60" s="13"/>
    </row>
    <row r="61" customFormat="false" ht="15" hidden="false" customHeight="false" outlineLevel="0" collapsed="false">
      <c r="A61" s="10"/>
      <c r="D61" s="13"/>
    </row>
    <row r="62" customFormat="false" ht="15" hidden="false" customHeight="false" outlineLevel="0" collapsed="false">
      <c r="A62" s="10"/>
      <c r="D62" s="13"/>
    </row>
    <row r="63" customFormat="false" ht="15" hidden="false" customHeight="false" outlineLevel="0" collapsed="false">
      <c r="A63" s="10"/>
      <c r="D63" s="13"/>
    </row>
    <row r="64" customFormat="false" ht="15" hidden="false" customHeight="false" outlineLevel="0" collapsed="false">
      <c r="A64" s="10"/>
      <c r="D64" s="13"/>
    </row>
    <row r="65" customFormat="false" ht="15" hidden="false" customHeight="false" outlineLevel="0" collapsed="false">
      <c r="A65" s="10"/>
      <c r="D65" s="13"/>
    </row>
    <row r="66" customFormat="false" ht="15" hidden="false" customHeight="false" outlineLevel="0" collapsed="false">
      <c r="A66" s="10"/>
      <c r="D66" s="13"/>
    </row>
    <row r="67" customFormat="false" ht="15" hidden="false" customHeight="false" outlineLevel="0" collapsed="false">
      <c r="A67" s="10"/>
      <c r="D67" s="13"/>
    </row>
    <row r="68" customFormat="false" ht="15" hidden="false" customHeight="false" outlineLevel="0" collapsed="false">
      <c r="A68" s="10"/>
      <c r="D68" s="13"/>
    </row>
    <row r="69" customFormat="false" ht="15" hidden="false" customHeight="false" outlineLevel="0" collapsed="false">
      <c r="A69" s="10"/>
      <c r="D69" s="13"/>
    </row>
    <row r="70" customFormat="false" ht="15" hidden="false" customHeight="false" outlineLevel="0" collapsed="false">
      <c r="A70" s="10"/>
      <c r="D70" s="13"/>
    </row>
    <row r="71" customFormat="false" ht="15" hidden="false" customHeight="false" outlineLevel="0" collapsed="false">
      <c r="A71" s="10"/>
      <c r="D71" s="13"/>
    </row>
    <row r="72" customFormat="false" ht="15" hidden="false" customHeight="false" outlineLevel="0" collapsed="false">
      <c r="A72" s="10"/>
      <c r="D72" s="13"/>
    </row>
    <row r="73" customFormat="false" ht="15" hidden="false" customHeight="false" outlineLevel="0" collapsed="false">
      <c r="A73" s="10"/>
      <c r="D73" s="13"/>
    </row>
    <row r="74" customFormat="false" ht="15" hidden="false" customHeight="false" outlineLevel="0" collapsed="false">
      <c r="A74" s="10"/>
      <c r="D74" s="13"/>
    </row>
    <row r="75" customFormat="false" ht="15" hidden="false" customHeight="false" outlineLevel="0" collapsed="false">
      <c r="A75" s="10"/>
      <c r="D75" s="13"/>
    </row>
    <row r="76" customFormat="false" ht="15" hidden="false" customHeight="false" outlineLevel="0" collapsed="false">
      <c r="A76" s="10"/>
      <c r="D76" s="13"/>
    </row>
    <row r="77" customFormat="false" ht="15" hidden="false" customHeight="false" outlineLevel="0" collapsed="false">
      <c r="A77" s="10"/>
      <c r="D77" s="13"/>
    </row>
    <row r="78" customFormat="false" ht="15" hidden="false" customHeight="false" outlineLevel="0" collapsed="false">
      <c r="A78" s="10"/>
      <c r="D78" s="13"/>
    </row>
    <row r="79" customFormat="false" ht="15" hidden="false" customHeight="false" outlineLevel="0" collapsed="false">
      <c r="A79" s="10"/>
      <c r="D79" s="13"/>
    </row>
    <row r="80" customFormat="false" ht="15" hidden="false" customHeight="false" outlineLevel="0" collapsed="false">
      <c r="A80" s="10"/>
      <c r="D80" s="13"/>
    </row>
    <row r="81" customFormat="false" ht="15" hidden="false" customHeight="false" outlineLevel="0" collapsed="false">
      <c r="A81" s="10"/>
      <c r="D81" s="13"/>
    </row>
    <row r="82" customFormat="false" ht="15" hidden="false" customHeight="false" outlineLevel="0" collapsed="false">
      <c r="A82" s="10"/>
      <c r="D82" s="13"/>
    </row>
    <row r="83" customFormat="false" ht="15" hidden="false" customHeight="false" outlineLevel="0" collapsed="false">
      <c r="A83" s="10"/>
      <c r="D83" s="13"/>
    </row>
    <row r="84" customFormat="false" ht="15" hidden="false" customHeight="false" outlineLevel="0" collapsed="false">
      <c r="A84" s="10"/>
      <c r="D84" s="13"/>
    </row>
    <row r="85" customFormat="false" ht="15" hidden="false" customHeight="false" outlineLevel="0" collapsed="false">
      <c r="A85" s="10"/>
      <c r="D85" s="13"/>
    </row>
    <row r="86" customFormat="false" ht="15" hidden="false" customHeight="false" outlineLevel="0" collapsed="false">
      <c r="A86" s="10"/>
      <c r="D86" s="13"/>
    </row>
    <row r="87" customFormat="false" ht="15" hidden="false" customHeight="false" outlineLevel="0" collapsed="false">
      <c r="A87" s="10"/>
      <c r="D87" s="13"/>
    </row>
    <row r="88" customFormat="false" ht="15" hidden="false" customHeight="false" outlineLevel="0" collapsed="false">
      <c r="A88" s="10"/>
      <c r="D88" s="13"/>
    </row>
    <row r="89" customFormat="false" ht="15" hidden="false" customHeight="false" outlineLevel="0" collapsed="false">
      <c r="A89" s="10"/>
      <c r="D89" s="13"/>
    </row>
    <row r="90" customFormat="false" ht="15" hidden="false" customHeight="false" outlineLevel="0" collapsed="false">
      <c r="A90" s="10"/>
      <c r="D90" s="13"/>
    </row>
    <row r="91" customFormat="false" ht="15" hidden="false" customHeight="false" outlineLevel="0" collapsed="false">
      <c r="A91" s="10"/>
      <c r="D91" s="13"/>
    </row>
    <row r="92" customFormat="false" ht="15" hidden="false" customHeight="false" outlineLevel="0" collapsed="false">
      <c r="A92" s="10"/>
      <c r="D92" s="13"/>
    </row>
    <row r="93" customFormat="false" ht="15" hidden="false" customHeight="false" outlineLevel="0" collapsed="false">
      <c r="A93" s="10"/>
      <c r="D93" s="13"/>
    </row>
    <row r="94" customFormat="false" ht="15" hidden="false" customHeight="false" outlineLevel="0" collapsed="false">
      <c r="A94" s="10"/>
      <c r="D94" s="13"/>
    </row>
    <row r="95" customFormat="false" ht="15" hidden="false" customHeight="false" outlineLevel="0" collapsed="false">
      <c r="A95" s="10"/>
      <c r="D95" s="13"/>
    </row>
    <row r="96" customFormat="false" ht="15" hidden="false" customHeight="false" outlineLevel="0" collapsed="false">
      <c r="A96" s="10"/>
      <c r="D96" s="13"/>
    </row>
    <row r="97" customFormat="false" ht="15" hidden="false" customHeight="false" outlineLevel="0" collapsed="false">
      <c r="A97" s="10"/>
      <c r="D97" s="13"/>
    </row>
    <row r="98" customFormat="false" ht="15" hidden="false" customHeight="false" outlineLevel="0" collapsed="false">
      <c r="A98" s="10"/>
      <c r="D98" s="13"/>
    </row>
    <row r="99" customFormat="false" ht="15" hidden="false" customHeight="false" outlineLevel="0" collapsed="false">
      <c r="A99" s="10"/>
      <c r="D99" s="13"/>
    </row>
    <row r="100" customFormat="false" ht="15" hidden="false" customHeight="false" outlineLevel="0" collapsed="false">
      <c r="A100" s="10"/>
      <c r="D100" s="13"/>
    </row>
    <row r="101" customFormat="false" ht="15" hidden="false" customHeight="false" outlineLevel="0" collapsed="false">
      <c r="A101" s="10"/>
      <c r="D101" s="13"/>
    </row>
    <row r="102" customFormat="false" ht="15" hidden="false" customHeight="false" outlineLevel="0" collapsed="false">
      <c r="A102" s="10"/>
      <c r="D102" s="13"/>
    </row>
    <row r="103" customFormat="false" ht="15" hidden="false" customHeight="false" outlineLevel="0" collapsed="false">
      <c r="A103" s="10"/>
      <c r="D103" s="13"/>
    </row>
    <row r="104" customFormat="false" ht="15" hidden="false" customHeight="false" outlineLevel="0" collapsed="false">
      <c r="A104" s="10"/>
      <c r="D104" s="13"/>
    </row>
    <row r="105" customFormat="false" ht="15" hidden="false" customHeight="false" outlineLevel="0" collapsed="false">
      <c r="A105" s="10"/>
      <c r="D105" s="13"/>
    </row>
    <row r="106" customFormat="false" ht="15" hidden="false" customHeight="false" outlineLevel="0" collapsed="false">
      <c r="A106" s="10"/>
      <c r="D106" s="13"/>
    </row>
    <row r="107" customFormat="false" ht="15" hidden="false" customHeight="false" outlineLevel="0" collapsed="false">
      <c r="A107" s="10"/>
      <c r="D107" s="13"/>
    </row>
    <row r="108" customFormat="false" ht="15" hidden="false" customHeight="false" outlineLevel="0" collapsed="false">
      <c r="A108" s="10"/>
      <c r="D108" s="13"/>
    </row>
    <row r="109" customFormat="false" ht="15" hidden="false" customHeight="false" outlineLevel="0" collapsed="false">
      <c r="A109" s="10"/>
      <c r="D109" s="13"/>
    </row>
    <row r="110" customFormat="false" ht="15" hidden="false" customHeight="false" outlineLevel="0" collapsed="false">
      <c r="A110" s="10"/>
      <c r="D110" s="13"/>
    </row>
    <row r="111" customFormat="false" ht="15" hidden="false" customHeight="false" outlineLevel="0" collapsed="false">
      <c r="A111" s="10"/>
      <c r="D111" s="13"/>
    </row>
    <row r="112" customFormat="false" ht="15" hidden="false" customHeight="false" outlineLevel="0" collapsed="false">
      <c r="A112" s="10"/>
      <c r="D112" s="13"/>
    </row>
    <row r="113" customFormat="false" ht="15" hidden="false" customHeight="false" outlineLevel="0" collapsed="false">
      <c r="A113" s="10"/>
      <c r="D113" s="13"/>
    </row>
    <row r="114" customFormat="false" ht="15" hidden="false" customHeight="false" outlineLevel="0" collapsed="false">
      <c r="A114" s="10"/>
      <c r="D114" s="13"/>
    </row>
    <row r="115" customFormat="false" ht="15" hidden="false" customHeight="false" outlineLevel="0" collapsed="false">
      <c r="A115" s="10"/>
      <c r="D115" s="13"/>
    </row>
    <row r="116" customFormat="false" ht="15" hidden="false" customHeight="false" outlineLevel="0" collapsed="false">
      <c r="A116" s="10"/>
      <c r="D116" s="13"/>
    </row>
    <row r="117" customFormat="false" ht="15" hidden="false" customHeight="false" outlineLevel="0" collapsed="false">
      <c r="A117" s="10"/>
      <c r="D117" s="13"/>
    </row>
    <row r="118" customFormat="false" ht="15" hidden="false" customHeight="false" outlineLevel="0" collapsed="false">
      <c r="A118" s="10"/>
      <c r="D118" s="13"/>
    </row>
    <row r="119" customFormat="false" ht="15" hidden="false" customHeight="false" outlineLevel="0" collapsed="false">
      <c r="A119" s="10"/>
      <c r="D119" s="13"/>
    </row>
    <row r="120" customFormat="false" ht="15" hidden="false" customHeight="false" outlineLevel="0" collapsed="false">
      <c r="A120" s="10"/>
      <c r="D120" s="13"/>
    </row>
    <row r="121" customFormat="false" ht="15" hidden="false" customHeight="false" outlineLevel="0" collapsed="false">
      <c r="A121" s="10"/>
      <c r="D121" s="13"/>
    </row>
    <row r="122" customFormat="false" ht="15" hidden="false" customHeight="false" outlineLevel="0" collapsed="false">
      <c r="A122" s="10"/>
      <c r="D122" s="13"/>
    </row>
    <row r="123" customFormat="false" ht="15" hidden="false" customHeight="false" outlineLevel="0" collapsed="false">
      <c r="A123" s="10"/>
      <c r="D123" s="13"/>
    </row>
    <row r="124" customFormat="false" ht="15" hidden="false" customHeight="false" outlineLevel="0" collapsed="false">
      <c r="A124" s="10"/>
      <c r="D124" s="13"/>
    </row>
    <row r="125" customFormat="false" ht="15" hidden="false" customHeight="false" outlineLevel="0" collapsed="false">
      <c r="A125" s="10"/>
      <c r="D125" s="13"/>
    </row>
    <row r="126" customFormat="false" ht="15" hidden="false" customHeight="false" outlineLevel="0" collapsed="false">
      <c r="A126" s="10"/>
      <c r="D126" s="13"/>
    </row>
    <row r="127" customFormat="false" ht="15" hidden="false" customHeight="false" outlineLevel="0" collapsed="false">
      <c r="A127" s="10"/>
      <c r="D127" s="13"/>
    </row>
    <row r="128" customFormat="false" ht="15" hidden="false" customHeight="false" outlineLevel="0" collapsed="false">
      <c r="A128" s="10"/>
      <c r="D128" s="13"/>
    </row>
    <row r="129" customFormat="false" ht="15" hidden="false" customHeight="false" outlineLevel="0" collapsed="false">
      <c r="A129" s="10"/>
      <c r="D129" s="13"/>
    </row>
    <row r="130" customFormat="false" ht="15" hidden="false" customHeight="false" outlineLevel="0" collapsed="false">
      <c r="A130" s="10"/>
      <c r="D130" s="13"/>
    </row>
    <row r="131" customFormat="false" ht="15" hidden="false" customHeight="false" outlineLevel="0" collapsed="false">
      <c r="A131" s="10"/>
      <c r="D131" s="13"/>
    </row>
    <row r="132" customFormat="false" ht="15" hidden="false" customHeight="false" outlineLevel="0" collapsed="false">
      <c r="A132" s="10"/>
      <c r="D132" s="13"/>
    </row>
    <row r="133" customFormat="false" ht="15" hidden="false" customHeight="false" outlineLevel="0" collapsed="false">
      <c r="A133" s="10"/>
      <c r="D133" s="13"/>
    </row>
    <row r="134" customFormat="false" ht="15" hidden="false" customHeight="false" outlineLevel="0" collapsed="false">
      <c r="A134" s="10"/>
      <c r="D134" s="13"/>
    </row>
    <row r="135" customFormat="false" ht="15" hidden="false" customHeight="false" outlineLevel="0" collapsed="false">
      <c r="A135" s="10"/>
      <c r="D135" s="13"/>
    </row>
    <row r="136" customFormat="false" ht="15" hidden="false" customHeight="false" outlineLevel="0" collapsed="false">
      <c r="A136" s="10"/>
      <c r="D136" s="13"/>
    </row>
    <row r="137" customFormat="false" ht="15" hidden="false" customHeight="false" outlineLevel="0" collapsed="false">
      <c r="A137" s="10"/>
      <c r="D137" s="13"/>
    </row>
    <row r="138" customFormat="false" ht="15" hidden="false" customHeight="false" outlineLevel="0" collapsed="false">
      <c r="A138" s="10"/>
      <c r="D138" s="13"/>
    </row>
    <row r="139" customFormat="false" ht="15" hidden="false" customHeight="false" outlineLevel="0" collapsed="false">
      <c r="A139" s="10"/>
      <c r="D139" s="13"/>
    </row>
    <row r="140" customFormat="false" ht="15" hidden="false" customHeight="false" outlineLevel="0" collapsed="false">
      <c r="A140" s="10"/>
      <c r="D140" s="13"/>
    </row>
    <row r="141" customFormat="false" ht="15" hidden="false" customHeight="false" outlineLevel="0" collapsed="false">
      <c r="A141" s="10"/>
      <c r="D141" s="13"/>
    </row>
    <row r="142" customFormat="false" ht="15" hidden="false" customHeight="false" outlineLevel="0" collapsed="false">
      <c r="A142" s="10"/>
      <c r="D142" s="13"/>
    </row>
    <row r="143" customFormat="false" ht="15" hidden="false" customHeight="false" outlineLevel="0" collapsed="false">
      <c r="A143" s="10"/>
      <c r="D143" s="13"/>
    </row>
    <row r="144" customFormat="false" ht="15" hidden="false" customHeight="false" outlineLevel="0" collapsed="false">
      <c r="A144" s="10"/>
      <c r="D144" s="13"/>
    </row>
    <row r="145" customFormat="false" ht="15" hidden="false" customHeight="false" outlineLevel="0" collapsed="false">
      <c r="A145" s="10"/>
      <c r="D145" s="13"/>
    </row>
    <row r="146" customFormat="false" ht="15" hidden="false" customHeight="false" outlineLevel="0" collapsed="false">
      <c r="A146" s="10"/>
      <c r="D146" s="13"/>
    </row>
    <row r="147" customFormat="false" ht="15" hidden="false" customHeight="false" outlineLevel="0" collapsed="false">
      <c r="A147" s="10"/>
      <c r="D147" s="13"/>
    </row>
    <row r="148" customFormat="false" ht="15" hidden="false" customHeight="false" outlineLevel="0" collapsed="false">
      <c r="A148" s="10"/>
      <c r="D148" s="13"/>
    </row>
    <row r="149" customFormat="false" ht="15" hidden="false" customHeight="false" outlineLevel="0" collapsed="false">
      <c r="A149" s="10"/>
      <c r="D149" s="13"/>
    </row>
    <row r="150" customFormat="false" ht="15" hidden="false" customHeight="false" outlineLevel="0" collapsed="false">
      <c r="A150" s="10"/>
      <c r="D150" s="13"/>
    </row>
    <row r="151" customFormat="false" ht="15" hidden="false" customHeight="false" outlineLevel="0" collapsed="false">
      <c r="A151" s="10"/>
      <c r="D151" s="13"/>
    </row>
    <row r="152" customFormat="false" ht="15" hidden="false" customHeight="false" outlineLevel="0" collapsed="false">
      <c r="A152" s="10"/>
      <c r="D152" s="13"/>
    </row>
    <row r="153" customFormat="false" ht="15" hidden="false" customHeight="false" outlineLevel="0" collapsed="false">
      <c r="A153" s="10"/>
      <c r="D153" s="13"/>
    </row>
    <row r="154" customFormat="false" ht="15" hidden="false" customHeight="false" outlineLevel="0" collapsed="false">
      <c r="A154" s="10"/>
      <c r="D154" s="13"/>
    </row>
    <row r="155" customFormat="false" ht="15" hidden="false" customHeight="false" outlineLevel="0" collapsed="false">
      <c r="A155" s="10"/>
      <c r="D155" s="13"/>
    </row>
    <row r="156" customFormat="false" ht="15" hidden="false" customHeight="false" outlineLevel="0" collapsed="false">
      <c r="A156" s="10"/>
      <c r="D156" s="13"/>
    </row>
    <row r="157" customFormat="false" ht="15" hidden="false" customHeight="false" outlineLevel="0" collapsed="false">
      <c r="A157" s="10"/>
      <c r="D157" s="13"/>
    </row>
    <row r="158" customFormat="false" ht="15" hidden="false" customHeight="false" outlineLevel="0" collapsed="false">
      <c r="A158" s="10"/>
      <c r="D158" s="13"/>
    </row>
    <row r="159" customFormat="false" ht="15" hidden="false" customHeight="false" outlineLevel="0" collapsed="false">
      <c r="A159" s="10"/>
      <c r="D159" s="13"/>
    </row>
    <row r="160" customFormat="false" ht="15" hidden="false" customHeight="false" outlineLevel="0" collapsed="false">
      <c r="A160" s="10"/>
      <c r="D160" s="13"/>
    </row>
    <row r="161" customFormat="false" ht="15" hidden="false" customHeight="false" outlineLevel="0" collapsed="false">
      <c r="A161" s="10"/>
      <c r="D161" s="13"/>
    </row>
    <row r="162" customFormat="false" ht="15" hidden="false" customHeight="false" outlineLevel="0" collapsed="false">
      <c r="A162" s="10"/>
      <c r="D162" s="13"/>
    </row>
    <row r="163" customFormat="false" ht="15" hidden="false" customHeight="false" outlineLevel="0" collapsed="false">
      <c r="A163" s="10"/>
      <c r="D163" s="13"/>
    </row>
    <row r="164" customFormat="false" ht="15" hidden="false" customHeight="false" outlineLevel="0" collapsed="false">
      <c r="A164" s="10"/>
      <c r="D164" s="13"/>
    </row>
    <row r="165" customFormat="false" ht="15" hidden="false" customHeight="false" outlineLevel="0" collapsed="false">
      <c r="A165" s="10"/>
      <c r="D165" s="13"/>
    </row>
    <row r="166" customFormat="false" ht="15" hidden="false" customHeight="false" outlineLevel="0" collapsed="false">
      <c r="A166" s="10"/>
      <c r="D166" s="13"/>
    </row>
    <row r="167" customFormat="false" ht="15" hidden="false" customHeight="false" outlineLevel="0" collapsed="false">
      <c r="A167" s="10"/>
      <c r="D167" s="13"/>
    </row>
    <row r="168" customFormat="false" ht="15" hidden="false" customHeight="false" outlineLevel="0" collapsed="false">
      <c r="A168" s="10"/>
      <c r="D168" s="13"/>
    </row>
    <row r="169" customFormat="false" ht="15" hidden="false" customHeight="false" outlineLevel="0" collapsed="false">
      <c r="A169" s="10"/>
      <c r="D169" s="13"/>
    </row>
    <row r="170" customFormat="false" ht="15" hidden="false" customHeight="false" outlineLevel="0" collapsed="false">
      <c r="A170" s="10"/>
      <c r="D170" s="13"/>
    </row>
    <row r="171" customFormat="false" ht="15" hidden="false" customHeight="false" outlineLevel="0" collapsed="false">
      <c r="A171" s="10"/>
      <c r="D171" s="13"/>
    </row>
    <row r="172" customFormat="false" ht="15" hidden="false" customHeight="false" outlineLevel="0" collapsed="false">
      <c r="A172" s="10"/>
      <c r="D172" s="13"/>
    </row>
    <row r="173" customFormat="false" ht="15" hidden="false" customHeight="false" outlineLevel="0" collapsed="false">
      <c r="A173" s="10"/>
      <c r="D173" s="13"/>
    </row>
    <row r="174" customFormat="false" ht="15" hidden="false" customHeight="false" outlineLevel="0" collapsed="false">
      <c r="A174" s="10"/>
      <c r="D174" s="13"/>
    </row>
    <row r="175" customFormat="false" ht="15" hidden="false" customHeight="false" outlineLevel="0" collapsed="false">
      <c r="A175" s="10"/>
      <c r="D175" s="13"/>
    </row>
    <row r="176" customFormat="false" ht="15" hidden="false" customHeight="false" outlineLevel="0" collapsed="false">
      <c r="A176" s="10"/>
      <c r="D176" s="13"/>
    </row>
    <row r="177" customFormat="false" ht="15" hidden="false" customHeight="false" outlineLevel="0" collapsed="false">
      <c r="A177" s="10"/>
      <c r="D177" s="13"/>
    </row>
    <row r="178" customFormat="false" ht="15" hidden="false" customHeight="false" outlineLevel="0" collapsed="false">
      <c r="A178" s="10"/>
      <c r="D178" s="13"/>
    </row>
    <row r="179" customFormat="false" ht="15" hidden="false" customHeight="false" outlineLevel="0" collapsed="false">
      <c r="A179" s="10"/>
      <c r="D179" s="13"/>
    </row>
    <row r="180" customFormat="false" ht="15" hidden="false" customHeight="false" outlineLevel="0" collapsed="false">
      <c r="A180" s="10"/>
      <c r="D180" s="13"/>
    </row>
    <row r="181" customFormat="false" ht="15" hidden="false" customHeight="false" outlineLevel="0" collapsed="false">
      <c r="A181" s="10"/>
      <c r="D181" s="13"/>
    </row>
    <row r="182" customFormat="false" ht="15" hidden="false" customHeight="false" outlineLevel="0" collapsed="false">
      <c r="A182" s="10"/>
      <c r="D182" s="13"/>
    </row>
    <row r="183" customFormat="false" ht="15" hidden="false" customHeight="false" outlineLevel="0" collapsed="false">
      <c r="A183" s="10"/>
      <c r="D183" s="13"/>
    </row>
    <row r="184" customFormat="false" ht="15" hidden="false" customHeight="false" outlineLevel="0" collapsed="false">
      <c r="A184" s="10"/>
      <c r="D184" s="13"/>
    </row>
    <row r="185" customFormat="false" ht="15" hidden="false" customHeight="false" outlineLevel="0" collapsed="false">
      <c r="A185" s="10"/>
      <c r="D185" s="13"/>
    </row>
    <row r="186" customFormat="false" ht="15" hidden="false" customHeight="false" outlineLevel="0" collapsed="false">
      <c r="A186" s="10"/>
      <c r="D186" s="13"/>
    </row>
    <row r="187" customFormat="false" ht="15" hidden="false" customHeight="false" outlineLevel="0" collapsed="false">
      <c r="A187" s="10"/>
      <c r="D187" s="13"/>
    </row>
    <row r="188" customFormat="false" ht="15" hidden="false" customHeight="false" outlineLevel="0" collapsed="false">
      <c r="A188" s="10"/>
      <c r="D188" s="13"/>
    </row>
    <row r="189" customFormat="false" ht="15" hidden="false" customHeight="false" outlineLevel="0" collapsed="false">
      <c r="A189" s="10"/>
      <c r="D189" s="13"/>
    </row>
    <row r="190" customFormat="false" ht="15" hidden="false" customHeight="false" outlineLevel="0" collapsed="false">
      <c r="A190" s="10"/>
      <c r="D190" s="13"/>
    </row>
    <row r="191" customFormat="false" ht="15" hidden="false" customHeight="false" outlineLevel="0" collapsed="false">
      <c r="A191" s="10"/>
      <c r="D191" s="13"/>
    </row>
    <row r="192" customFormat="false" ht="15" hidden="false" customHeight="false" outlineLevel="0" collapsed="false">
      <c r="A192" s="10"/>
      <c r="D192" s="13"/>
    </row>
    <row r="193" customFormat="false" ht="15" hidden="false" customHeight="false" outlineLevel="0" collapsed="false">
      <c r="A193" s="10"/>
      <c r="D193" s="13"/>
    </row>
    <row r="194" customFormat="false" ht="15" hidden="false" customHeight="false" outlineLevel="0" collapsed="false">
      <c r="A194" s="10"/>
      <c r="D194" s="13"/>
    </row>
    <row r="195" customFormat="false" ht="15" hidden="false" customHeight="false" outlineLevel="0" collapsed="false">
      <c r="A195" s="10"/>
      <c r="D195" s="13"/>
    </row>
    <row r="196" customFormat="false" ht="15" hidden="false" customHeight="false" outlineLevel="0" collapsed="false">
      <c r="A196" s="10"/>
      <c r="D196" s="13"/>
    </row>
    <row r="197" customFormat="false" ht="15" hidden="false" customHeight="false" outlineLevel="0" collapsed="false">
      <c r="A197" s="10"/>
      <c r="D197" s="13"/>
    </row>
    <row r="198" customFormat="false" ht="15" hidden="false" customHeight="false" outlineLevel="0" collapsed="false">
      <c r="A198" s="10"/>
      <c r="D198" s="13"/>
    </row>
    <row r="199" customFormat="false" ht="15" hidden="false" customHeight="false" outlineLevel="0" collapsed="false">
      <c r="A199" s="10"/>
      <c r="D199" s="13"/>
    </row>
    <row r="200" customFormat="false" ht="15" hidden="false" customHeight="false" outlineLevel="0" collapsed="false">
      <c r="A200" s="10"/>
      <c r="D200" s="13"/>
    </row>
    <row r="201" customFormat="false" ht="15" hidden="false" customHeight="false" outlineLevel="0" collapsed="false">
      <c r="A201" s="10"/>
      <c r="D201" s="13"/>
    </row>
    <row r="202" customFormat="false" ht="15" hidden="false" customHeight="false" outlineLevel="0" collapsed="false">
      <c r="A202" s="10"/>
      <c r="D202" s="13"/>
    </row>
    <row r="203" customFormat="false" ht="15" hidden="false" customHeight="false" outlineLevel="0" collapsed="false">
      <c r="A203" s="10"/>
      <c r="D203" s="13"/>
    </row>
    <row r="204" customFormat="false" ht="15" hidden="false" customHeight="false" outlineLevel="0" collapsed="false">
      <c r="A204" s="10"/>
      <c r="D204" s="13"/>
    </row>
    <row r="205" customFormat="false" ht="15" hidden="false" customHeight="false" outlineLevel="0" collapsed="false">
      <c r="A205" s="10"/>
      <c r="D205" s="13"/>
    </row>
    <row r="206" customFormat="false" ht="15" hidden="false" customHeight="false" outlineLevel="0" collapsed="false">
      <c r="A206" s="10"/>
      <c r="D206" s="13"/>
    </row>
    <row r="207" customFormat="false" ht="15" hidden="false" customHeight="false" outlineLevel="0" collapsed="false">
      <c r="A207" s="10"/>
      <c r="D207" s="13"/>
    </row>
    <row r="208" customFormat="false" ht="15" hidden="false" customHeight="false" outlineLevel="0" collapsed="false">
      <c r="A208" s="10"/>
      <c r="D208" s="13"/>
    </row>
    <row r="209" customFormat="false" ht="15" hidden="false" customHeight="false" outlineLevel="0" collapsed="false">
      <c r="A209" s="10"/>
      <c r="D209" s="13"/>
    </row>
    <row r="210" customFormat="false" ht="15" hidden="false" customHeight="false" outlineLevel="0" collapsed="false">
      <c r="A210" s="10"/>
      <c r="D210" s="13"/>
    </row>
    <row r="211" customFormat="false" ht="15" hidden="false" customHeight="false" outlineLevel="0" collapsed="false">
      <c r="A211" s="10"/>
      <c r="D211" s="13"/>
    </row>
    <row r="212" customFormat="false" ht="15" hidden="false" customHeight="false" outlineLevel="0" collapsed="false">
      <c r="A212" s="10"/>
      <c r="D212" s="13"/>
    </row>
    <row r="213" customFormat="false" ht="15" hidden="false" customHeight="false" outlineLevel="0" collapsed="false">
      <c r="A213" s="10"/>
      <c r="D213" s="13"/>
    </row>
    <row r="214" customFormat="false" ht="15" hidden="false" customHeight="false" outlineLevel="0" collapsed="false">
      <c r="A214" s="10"/>
      <c r="D214" s="13"/>
    </row>
    <row r="215" customFormat="false" ht="15" hidden="false" customHeight="false" outlineLevel="0" collapsed="false">
      <c r="A215" s="10"/>
      <c r="D215" s="13"/>
    </row>
    <row r="216" customFormat="false" ht="15" hidden="false" customHeight="false" outlineLevel="0" collapsed="false">
      <c r="A216" s="10"/>
      <c r="D216" s="13"/>
    </row>
    <row r="217" customFormat="false" ht="15" hidden="false" customHeight="false" outlineLevel="0" collapsed="false">
      <c r="A217" s="10"/>
      <c r="D217" s="13"/>
    </row>
    <row r="218" customFormat="false" ht="15" hidden="false" customHeight="false" outlineLevel="0" collapsed="false">
      <c r="A218" s="10"/>
      <c r="D218" s="13"/>
    </row>
    <row r="219" customFormat="false" ht="15" hidden="false" customHeight="false" outlineLevel="0" collapsed="false">
      <c r="A219" s="10"/>
      <c r="D219" s="13"/>
    </row>
    <row r="220" customFormat="false" ht="15" hidden="false" customHeight="false" outlineLevel="0" collapsed="false">
      <c r="A220" s="10"/>
      <c r="D220" s="13"/>
    </row>
    <row r="221" customFormat="false" ht="15" hidden="false" customHeight="false" outlineLevel="0" collapsed="false">
      <c r="A221" s="10"/>
      <c r="D221" s="13"/>
    </row>
    <row r="222" customFormat="false" ht="15" hidden="false" customHeight="false" outlineLevel="0" collapsed="false">
      <c r="A222" s="10"/>
      <c r="D222" s="13"/>
    </row>
    <row r="223" customFormat="false" ht="15" hidden="false" customHeight="false" outlineLevel="0" collapsed="false">
      <c r="A223" s="10"/>
      <c r="D223" s="13"/>
    </row>
    <row r="224" customFormat="false" ht="15" hidden="false" customHeight="false" outlineLevel="0" collapsed="false">
      <c r="A224" s="10"/>
      <c r="D224" s="13"/>
    </row>
    <row r="225" customFormat="false" ht="15" hidden="false" customHeight="false" outlineLevel="0" collapsed="false">
      <c r="A225" s="10"/>
      <c r="D225" s="13"/>
    </row>
    <row r="226" customFormat="false" ht="15" hidden="false" customHeight="false" outlineLevel="0" collapsed="false">
      <c r="A226" s="10"/>
      <c r="D226" s="13"/>
    </row>
    <row r="227" customFormat="false" ht="15" hidden="false" customHeight="false" outlineLevel="0" collapsed="false">
      <c r="A227" s="10"/>
      <c r="D227" s="13"/>
    </row>
    <row r="228" customFormat="false" ht="15" hidden="false" customHeight="false" outlineLevel="0" collapsed="false">
      <c r="A228" s="10"/>
      <c r="D228" s="13"/>
    </row>
    <row r="229" customFormat="false" ht="15" hidden="false" customHeight="false" outlineLevel="0" collapsed="false">
      <c r="A229" s="10"/>
      <c r="D229" s="13"/>
    </row>
    <row r="230" customFormat="false" ht="15" hidden="false" customHeight="false" outlineLevel="0" collapsed="false">
      <c r="A230" s="10"/>
      <c r="D230" s="13"/>
    </row>
    <row r="231" customFormat="false" ht="15" hidden="false" customHeight="false" outlineLevel="0" collapsed="false">
      <c r="A231" s="10"/>
      <c r="D231" s="13"/>
    </row>
    <row r="232" customFormat="false" ht="15" hidden="false" customHeight="false" outlineLevel="0" collapsed="false">
      <c r="A232" s="10"/>
      <c r="D232" s="13"/>
    </row>
    <row r="233" customFormat="false" ht="15" hidden="false" customHeight="false" outlineLevel="0" collapsed="false">
      <c r="A233" s="10"/>
      <c r="D233" s="13"/>
    </row>
    <row r="234" customFormat="false" ht="15" hidden="false" customHeight="false" outlineLevel="0" collapsed="false">
      <c r="A234" s="10"/>
      <c r="D234" s="13"/>
    </row>
    <row r="235" customFormat="false" ht="15" hidden="false" customHeight="false" outlineLevel="0" collapsed="false">
      <c r="A235" s="10"/>
      <c r="D235" s="13"/>
    </row>
    <row r="236" customFormat="false" ht="15" hidden="false" customHeight="false" outlineLevel="0" collapsed="false">
      <c r="A236" s="10"/>
      <c r="D236" s="13"/>
    </row>
    <row r="237" customFormat="false" ht="15" hidden="false" customHeight="false" outlineLevel="0" collapsed="false">
      <c r="A237" s="10"/>
      <c r="D237" s="13"/>
    </row>
    <row r="238" customFormat="false" ht="15" hidden="false" customHeight="false" outlineLevel="0" collapsed="false">
      <c r="A238" s="10"/>
      <c r="D238" s="13"/>
    </row>
    <row r="239" customFormat="false" ht="15" hidden="false" customHeight="false" outlineLevel="0" collapsed="false">
      <c r="A239" s="10"/>
      <c r="D239" s="13"/>
    </row>
    <row r="240" customFormat="false" ht="15" hidden="false" customHeight="false" outlineLevel="0" collapsed="false">
      <c r="A240" s="10"/>
      <c r="D240" s="13"/>
    </row>
    <row r="241" customFormat="false" ht="15" hidden="false" customHeight="false" outlineLevel="0" collapsed="false">
      <c r="A241" s="10"/>
      <c r="D241" s="13"/>
    </row>
    <row r="242" customFormat="false" ht="15" hidden="false" customHeight="false" outlineLevel="0" collapsed="false">
      <c r="A242" s="10"/>
      <c r="D242" s="13"/>
    </row>
    <row r="243" customFormat="false" ht="15" hidden="false" customHeight="false" outlineLevel="0" collapsed="false">
      <c r="A243" s="10"/>
      <c r="D243" s="13"/>
    </row>
    <row r="244" customFormat="false" ht="15" hidden="false" customHeight="false" outlineLevel="0" collapsed="false">
      <c r="A244" s="10"/>
      <c r="D244" s="13"/>
    </row>
    <row r="245" customFormat="false" ht="15" hidden="false" customHeight="false" outlineLevel="0" collapsed="false">
      <c r="A245" s="10"/>
      <c r="D245" s="13"/>
    </row>
    <row r="246" customFormat="false" ht="15" hidden="false" customHeight="false" outlineLevel="0" collapsed="false">
      <c r="A246" s="10"/>
      <c r="D246" s="13"/>
    </row>
    <row r="247" customFormat="false" ht="15" hidden="false" customHeight="false" outlineLevel="0" collapsed="false">
      <c r="A247" s="10"/>
      <c r="D247" s="13"/>
    </row>
    <row r="248" customFormat="false" ht="15" hidden="false" customHeight="false" outlineLevel="0" collapsed="false">
      <c r="A248" s="10"/>
      <c r="D248" s="13"/>
    </row>
    <row r="249" customFormat="false" ht="15" hidden="false" customHeight="false" outlineLevel="0" collapsed="false">
      <c r="A249" s="10"/>
      <c r="D249" s="13"/>
    </row>
    <row r="250" customFormat="false" ht="15" hidden="false" customHeight="false" outlineLevel="0" collapsed="false">
      <c r="A250" s="10"/>
      <c r="D250" s="13"/>
    </row>
    <row r="251" customFormat="false" ht="15" hidden="false" customHeight="false" outlineLevel="0" collapsed="false">
      <c r="A251" s="10"/>
      <c r="D251" s="13"/>
    </row>
    <row r="252" customFormat="false" ht="15" hidden="false" customHeight="false" outlineLevel="0" collapsed="false">
      <c r="A252" s="10"/>
      <c r="D252" s="13"/>
    </row>
    <row r="253" customFormat="false" ht="15" hidden="false" customHeight="false" outlineLevel="0" collapsed="false">
      <c r="A253" s="10"/>
      <c r="D253" s="13"/>
    </row>
    <row r="254" customFormat="false" ht="15" hidden="false" customHeight="false" outlineLevel="0" collapsed="false">
      <c r="A254" s="10"/>
      <c r="D254" s="13"/>
    </row>
    <row r="255" customFormat="false" ht="15" hidden="false" customHeight="false" outlineLevel="0" collapsed="false">
      <c r="A255" s="10"/>
      <c r="D255" s="13"/>
    </row>
    <row r="256" customFormat="false" ht="15" hidden="false" customHeight="false" outlineLevel="0" collapsed="false">
      <c r="A256" s="10"/>
      <c r="D256" s="13"/>
    </row>
    <row r="257" customFormat="false" ht="15" hidden="false" customHeight="false" outlineLevel="0" collapsed="false">
      <c r="A257" s="10"/>
      <c r="D257" s="13"/>
    </row>
    <row r="258" customFormat="false" ht="15" hidden="false" customHeight="false" outlineLevel="0" collapsed="false">
      <c r="A258" s="10"/>
      <c r="D258" s="13"/>
    </row>
    <row r="259" customFormat="false" ht="15" hidden="false" customHeight="false" outlineLevel="0" collapsed="false">
      <c r="A259" s="10"/>
      <c r="D259" s="13"/>
    </row>
    <row r="260" customFormat="false" ht="15" hidden="false" customHeight="false" outlineLevel="0" collapsed="false">
      <c r="A260" s="10"/>
      <c r="D260" s="13"/>
    </row>
    <row r="261" customFormat="false" ht="15" hidden="false" customHeight="false" outlineLevel="0" collapsed="false">
      <c r="A261" s="10"/>
      <c r="D261" s="13"/>
    </row>
    <row r="262" customFormat="false" ht="15" hidden="false" customHeight="false" outlineLevel="0" collapsed="false">
      <c r="A262" s="10"/>
      <c r="D262" s="13"/>
    </row>
    <row r="263" customFormat="false" ht="15" hidden="false" customHeight="false" outlineLevel="0" collapsed="false">
      <c r="A263" s="10"/>
      <c r="D263" s="13"/>
    </row>
    <row r="264" customFormat="false" ht="15" hidden="false" customHeight="false" outlineLevel="0" collapsed="false">
      <c r="A264" s="10"/>
      <c r="D264" s="13"/>
    </row>
    <row r="265" customFormat="false" ht="15" hidden="false" customHeight="false" outlineLevel="0" collapsed="false">
      <c r="A265" s="10"/>
      <c r="D265" s="13"/>
    </row>
    <row r="266" customFormat="false" ht="15" hidden="false" customHeight="false" outlineLevel="0" collapsed="false">
      <c r="A266" s="10"/>
      <c r="D266" s="13"/>
    </row>
    <row r="267" customFormat="false" ht="15" hidden="false" customHeight="false" outlineLevel="0" collapsed="false">
      <c r="A267" s="10"/>
      <c r="D267" s="13"/>
    </row>
    <row r="268" customFormat="false" ht="15" hidden="false" customHeight="false" outlineLevel="0" collapsed="false">
      <c r="A268" s="10"/>
      <c r="D268" s="13"/>
    </row>
    <row r="269" customFormat="false" ht="15" hidden="false" customHeight="false" outlineLevel="0" collapsed="false">
      <c r="A269" s="10"/>
      <c r="D269" s="13"/>
    </row>
    <row r="270" customFormat="false" ht="15" hidden="false" customHeight="false" outlineLevel="0" collapsed="false">
      <c r="A270" s="10"/>
      <c r="D270" s="13"/>
    </row>
    <row r="271" customFormat="false" ht="15" hidden="false" customHeight="false" outlineLevel="0" collapsed="false">
      <c r="A271" s="10"/>
      <c r="D271" s="13"/>
    </row>
    <row r="272" customFormat="false" ht="15" hidden="false" customHeight="false" outlineLevel="0" collapsed="false">
      <c r="A272" s="10"/>
      <c r="D272" s="13"/>
    </row>
    <row r="273" customFormat="false" ht="15" hidden="false" customHeight="false" outlineLevel="0" collapsed="false">
      <c r="A273" s="10"/>
      <c r="D273" s="13"/>
    </row>
    <row r="274" customFormat="false" ht="15" hidden="false" customHeight="false" outlineLevel="0" collapsed="false">
      <c r="A274" s="10"/>
      <c r="D274" s="13"/>
    </row>
    <row r="275" customFormat="false" ht="15" hidden="false" customHeight="false" outlineLevel="0" collapsed="false">
      <c r="A275" s="10"/>
      <c r="D275" s="13"/>
    </row>
    <row r="276" customFormat="false" ht="15" hidden="false" customHeight="false" outlineLevel="0" collapsed="false">
      <c r="A276" s="10"/>
      <c r="D276" s="13"/>
    </row>
    <row r="277" customFormat="false" ht="15" hidden="false" customHeight="false" outlineLevel="0" collapsed="false">
      <c r="A277" s="10"/>
      <c r="D277" s="13"/>
    </row>
    <row r="278" customFormat="false" ht="15" hidden="false" customHeight="false" outlineLevel="0" collapsed="false">
      <c r="A278" s="10"/>
      <c r="D278" s="13"/>
    </row>
    <row r="279" customFormat="false" ht="15" hidden="false" customHeight="false" outlineLevel="0" collapsed="false">
      <c r="A279" s="10"/>
      <c r="D279" s="13"/>
    </row>
    <row r="280" customFormat="false" ht="15" hidden="false" customHeight="false" outlineLevel="0" collapsed="false">
      <c r="A280" s="10"/>
      <c r="D280" s="13"/>
    </row>
    <row r="281" customFormat="false" ht="15" hidden="false" customHeight="false" outlineLevel="0" collapsed="false">
      <c r="A281" s="10"/>
      <c r="D281" s="13"/>
    </row>
    <row r="282" customFormat="false" ht="15" hidden="false" customHeight="false" outlineLevel="0" collapsed="false">
      <c r="A282" s="10"/>
      <c r="D282" s="13"/>
    </row>
    <row r="283" customFormat="false" ht="15" hidden="false" customHeight="false" outlineLevel="0" collapsed="false">
      <c r="A283" s="10"/>
      <c r="D283" s="13"/>
    </row>
    <row r="284" customFormat="false" ht="15" hidden="false" customHeight="false" outlineLevel="0" collapsed="false">
      <c r="A284" s="10"/>
      <c r="D284" s="13"/>
    </row>
    <row r="285" customFormat="false" ht="15" hidden="false" customHeight="false" outlineLevel="0" collapsed="false">
      <c r="A285" s="10"/>
      <c r="D285" s="13"/>
    </row>
    <row r="286" customFormat="false" ht="15" hidden="false" customHeight="false" outlineLevel="0" collapsed="false">
      <c r="A286" s="10"/>
      <c r="D286" s="13"/>
    </row>
    <row r="287" customFormat="false" ht="15" hidden="false" customHeight="false" outlineLevel="0" collapsed="false">
      <c r="A287" s="10"/>
      <c r="D287" s="13"/>
    </row>
    <row r="288" customFormat="false" ht="15" hidden="false" customHeight="false" outlineLevel="0" collapsed="false">
      <c r="A288" s="10"/>
      <c r="D288" s="13"/>
    </row>
    <row r="289" customFormat="false" ht="15" hidden="false" customHeight="false" outlineLevel="0" collapsed="false">
      <c r="A289" s="10"/>
      <c r="D289" s="13"/>
    </row>
    <row r="290" customFormat="false" ht="15" hidden="false" customHeight="false" outlineLevel="0" collapsed="false">
      <c r="A290" s="10"/>
      <c r="D290" s="13"/>
    </row>
    <row r="291" customFormat="false" ht="15" hidden="false" customHeight="false" outlineLevel="0" collapsed="false">
      <c r="A291" s="10"/>
      <c r="D291" s="13"/>
    </row>
    <row r="292" customFormat="false" ht="15" hidden="false" customHeight="false" outlineLevel="0" collapsed="false">
      <c r="A292" s="10"/>
      <c r="D292" s="13"/>
    </row>
    <row r="293" customFormat="false" ht="15" hidden="false" customHeight="false" outlineLevel="0" collapsed="false">
      <c r="A293" s="10"/>
      <c r="D293" s="13"/>
    </row>
    <row r="294" customFormat="false" ht="15" hidden="false" customHeight="false" outlineLevel="0" collapsed="false">
      <c r="A294" s="10"/>
      <c r="D294" s="13"/>
    </row>
    <row r="295" customFormat="false" ht="15" hidden="false" customHeight="false" outlineLevel="0" collapsed="false">
      <c r="A295" s="10"/>
      <c r="D295" s="13"/>
    </row>
    <row r="296" customFormat="false" ht="15" hidden="false" customHeight="false" outlineLevel="0" collapsed="false">
      <c r="A296" s="10"/>
      <c r="D296" s="13"/>
    </row>
    <row r="297" customFormat="false" ht="15" hidden="false" customHeight="false" outlineLevel="0" collapsed="false">
      <c r="A297" s="10"/>
      <c r="D297" s="13"/>
    </row>
    <row r="298" customFormat="false" ht="15" hidden="false" customHeight="false" outlineLevel="0" collapsed="false">
      <c r="A298" s="10"/>
      <c r="D298" s="13"/>
    </row>
    <row r="299" customFormat="false" ht="15" hidden="false" customHeight="false" outlineLevel="0" collapsed="false">
      <c r="A299" s="10"/>
      <c r="D299" s="13"/>
    </row>
    <row r="300" customFormat="false" ht="15" hidden="false" customHeight="false" outlineLevel="0" collapsed="false">
      <c r="A300" s="10"/>
      <c r="D300" s="13"/>
    </row>
    <row r="301" customFormat="false" ht="15" hidden="false" customHeight="false" outlineLevel="0" collapsed="false">
      <c r="A301" s="10"/>
      <c r="D301" s="13"/>
    </row>
    <row r="302" customFormat="false" ht="15" hidden="false" customHeight="false" outlineLevel="0" collapsed="false">
      <c r="A302" s="10"/>
      <c r="D302" s="13"/>
    </row>
    <row r="303" customFormat="false" ht="15" hidden="false" customHeight="false" outlineLevel="0" collapsed="false">
      <c r="A303" s="10"/>
      <c r="D303" s="13"/>
    </row>
    <row r="304" customFormat="false" ht="15" hidden="false" customHeight="false" outlineLevel="0" collapsed="false">
      <c r="A304" s="10"/>
      <c r="D304" s="13"/>
    </row>
    <row r="305" customFormat="false" ht="15" hidden="false" customHeight="false" outlineLevel="0" collapsed="false">
      <c r="A305" s="10"/>
      <c r="D305" s="13"/>
    </row>
    <row r="306" customFormat="false" ht="15" hidden="false" customHeight="false" outlineLevel="0" collapsed="false">
      <c r="A306" s="10"/>
      <c r="D306" s="13"/>
    </row>
    <row r="307" customFormat="false" ht="15" hidden="false" customHeight="false" outlineLevel="0" collapsed="false">
      <c r="A307" s="10"/>
      <c r="D307" s="13"/>
    </row>
    <row r="308" customFormat="false" ht="15" hidden="false" customHeight="false" outlineLevel="0" collapsed="false">
      <c r="A308" s="10"/>
      <c r="D308" s="13"/>
    </row>
    <row r="309" customFormat="false" ht="15" hidden="false" customHeight="false" outlineLevel="0" collapsed="false">
      <c r="A309" s="10"/>
      <c r="D309" s="13"/>
    </row>
    <row r="310" customFormat="false" ht="15" hidden="false" customHeight="false" outlineLevel="0" collapsed="false">
      <c r="A310" s="10"/>
      <c r="D310" s="13"/>
    </row>
    <row r="311" customFormat="false" ht="15" hidden="false" customHeight="false" outlineLevel="0" collapsed="false">
      <c r="A311" s="10"/>
      <c r="D311" s="13"/>
    </row>
    <row r="312" customFormat="false" ht="15" hidden="false" customHeight="false" outlineLevel="0" collapsed="false">
      <c r="A312" s="10"/>
      <c r="D312" s="13"/>
    </row>
    <row r="313" customFormat="false" ht="15" hidden="false" customHeight="false" outlineLevel="0" collapsed="false">
      <c r="A313" s="10"/>
      <c r="D313" s="13"/>
    </row>
    <row r="314" customFormat="false" ht="15" hidden="false" customHeight="false" outlineLevel="0" collapsed="false">
      <c r="A314" s="10"/>
      <c r="D314" s="13"/>
    </row>
    <row r="315" customFormat="false" ht="15" hidden="false" customHeight="false" outlineLevel="0" collapsed="false">
      <c r="A315" s="10"/>
      <c r="D315" s="13"/>
    </row>
    <row r="316" customFormat="false" ht="15" hidden="false" customHeight="false" outlineLevel="0" collapsed="false">
      <c r="A316" s="10"/>
      <c r="D316" s="13"/>
    </row>
    <row r="317" customFormat="false" ht="15" hidden="false" customHeight="false" outlineLevel="0" collapsed="false">
      <c r="A317" s="10"/>
      <c r="D317" s="13"/>
    </row>
    <row r="318" customFormat="false" ht="15" hidden="false" customHeight="false" outlineLevel="0" collapsed="false">
      <c r="A318" s="10"/>
      <c r="D318" s="13"/>
    </row>
    <row r="319" customFormat="false" ht="15" hidden="false" customHeight="false" outlineLevel="0" collapsed="false">
      <c r="A319" s="10"/>
      <c r="D319" s="13"/>
    </row>
    <row r="320" customFormat="false" ht="15" hidden="false" customHeight="false" outlineLevel="0" collapsed="false">
      <c r="A320" s="10"/>
      <c r="D320" s="13"/>
    </row>
    <row r="321" customFormat="false" ht="15" hidden="false" customHeight="false" outlineLevel="0" collapsed="false">
      <c r="A321" s="10"/>
      <c r="D321" s="13"/>
    </row>
    <row r="322" customFormat="false" ht="15" hidden="false" customHeight="false" outlineLevel="0" collapsed="false">
      <c r="A322" s="10"/>
      <c r="D322" s="13"/>
    </row>
    <row r="323" customFormat="false" ht="15" hidden="false" customHeight="false" outlineLevel="0" collapsed="false">
      <c r="A323" s="10"/>
      <c r="D323" s="13"/>
    </row>
    <row r="324" customFormat="false" ht="15" hidden="false" customHeight="false" outlineLevel="0" collapsed="false">
      <c r="A324" s="10"/>
      <c r="D324" s="13"/>
    </row>
    <row r="325" customFormat="false" ht="15" hidden="false" customHeight="false" outlineLevel="0" collapsed="false">
      <c r="A325" s="10"/>
      <c r="D325" s="13"/>
    </row>
    <row r="326" customFormat="false" ht="15" hidden="false" customHeight="false" outlineLevel="0" collapsed="false">
      <c r="A326" s="10"/>
      <c r="D326" s="13"/>
    </row>
    <row r="327" customFormat="false" ht="15" hidden="false" customHeight="false" outlineLevel="0" collapsed="false">
      <c r="A327" s="10"/>
      <c r="D327" s="13"/>
    </row>
    <row r="328" customFormat="false" ht="15" hidden="false" customHeight="false" outlineLevel="0" collapsed="false">
      <c r="A328" s="10"/>
      <c r="D328" s="13"/>
    </row>
    <row r="329" customFormat="false" ht="15" hidden="false" customHeight="false" outlineLevel="0" collapsed="false">
      <c r="A329" s="10"/>
      <c r="D329" s="13"/>
    </row>
    <row r="330" customFormat="false" ht="15" hidden="false" customHeight="false" outlineLevel="0" collapsed="false">
      <c r="A330" s="10"/>
      <c r="D330" s="13"/>
    </row>
    <row r="331" customFormat="false" ht="15" hidden="false" customHeight="false" outlineLevel="0" collapsed="false">
      <c r="A331" s="10"/>
      <c r="D331" s="13"/>
    </row>
    <row r="332" customFormat="false" ht="15" hidden="false" customHeight="false" outlineLevel="0" collapsed="false">
      <c r="A332" s="10"/>
      <c r="D332" s="13"/>
    </row>
    <row r="333" customFormat="false" ht="15" hidden="false" customHeight="false" outlineLevel="0" collapsed="false">
      <c r="A333" s="10"/>
      <c r="D333" s="13"/>
    </row>
    <row r="334" customFormat="false" ht="15" hidden="false" customHeight="false" outlineLevel="0" collapsed="false">
      <c r="A334" s="10"/>
      <c r="D334" s="13"/>
    </row>
    <row r="335" customFormat="false" ht="15" hidden="false" customHeight="false" outlineLevel="0" collapsed="false">
      <c r="A335" s="10"/>
      <c r="D335" s="13"/>
    </row>
    <row r="336" customFormat="false" ht="15" hidden="false" customHeight="false" outlineLevel="0" collapsed="false">
      <c r="A336" s="10"/>
      <c r="D336" s="13"/>
    </row>
    <row r="337" customFormat="false" ht="15" hidden="false" customHeight="false" outlineLevel="0" collapsed="false">
      <c r="A337" s="10"/>
      <c r="D337" s="13"/>
    </row>
    <row r="338" customFormat="false" ht="15" hidden="false" customHeight="false" outlineLevel="0" collapsed="false">
      <c r="A338" s="10"/>
      <c r="D338" s="13"/>
    </row>
    <row r="339" customFormat="false" ht="15" hidden="false" customHeight="false" outlineLevel="0" collapsed="false">
      <c r="A339" s="10"/>
      <c r="D339" s="13"/>
    </row>
    <row r="340" customFormat="false" ht="15" hidden="false" customHeight="false" outlineLevel="0" collapsed="false">
      <c r="A340" s="10"/>
      <c r="D340" s="13"/>
    </row>
    <row r="341" customFormat="false" ht="15" hidden="false" customHeight="false" outlineLevel="0" collapsed="false">
      <c r="A341" s="10"/>
      <c r="D341" s="13"/>
    </row>
    <row r="342" customFormat="false" ht="15" hidden="false" customHeight="false" outlineLevel="0" collapsed="false">
      <c r="A342" s="10"/>
      <c r="D342" s="13"/>
    </row>
    <row r="343" customFormat="false" ht="15" hidden="false" customHeight="false" outlineLevel="0" collapsed="false">
      <c r="A343" s="10"/>
      <c r="D343" s="13"/>
    </row>
    <row r="344" customFormat="false" ht="15" hidden="false" customHeight="false" outlineLevel="0" collapsed="false">
      <c r="A344" s="10"/>
      <c r="D344" s="13"/>
    </row>
    <row r="345" customFormat="false" ht="15" hidden="false" customHeight="false" outlineLevel="0" collapsed="false">
      <c r="A345" s="10"/>
      <c r="D345" s="13"/>
    </row>
    <row r="346" customFormat="false" ht="15" hidden="false" customHeight="false" outlineLevel="0" collapsed="false">
      <c r="A346" s="10"/>
      <c r="D346" s="13"/>
    </row>
    <row r="347" customFormat="false" ht="15" hidden="false" customHeight="false" outlineLevel="0" collapsed="false">
      <c r="A347" s="10"/>
      <c r="D347" s="13"/>
    </row>
    <row r="348" customFormat="false" ht="15" hidden="false" customHeight="false" outlineLevel="0" collapsed="false">
      <c r="A348" s="10"/>
      <c r="D348" s="13"/>
    </row>
    <row r="349" customFormat="false" ht="15" hidden="false" customHeight="false" outlineLevel="0" collapsed="false">
      <c r="A349" s="10"/>
      <c r="D349" s="13"/>
    </row>
    <row r="350" customFormat="false" ht="15" hidden="false" customHeight="false" outlineLevel="0" collapsed="false">
      <c r="A350" s="10"/>
      <c r="D350" s="13"/>
    </row>
    <row r="351" customFormat="false" ht="15" hidden="false" customHeight="false" outlineLevel="0" collapsed="false">
      <c r="A351" s="10"/>
      <c r="D351" s="13"/>
    </row>
    <row r="352" customFormat="false" ht="15" hidden="false" customHeight="false" outlineLevel="0" collapsed="false">
      <c r="A352" s="10"/>
      <c r="D352" s="13"/>
    </row>
    <row r="353" customFormat="false" ht="15" hidden="false" customHeight="false" outlineLevel="0" collapsed="false">
      <c r="A353" s="10"/>
      <c r="D353" s="13"/>
    </row>
    <row r="354" customFormat="false" ht="15" hidden="false" customHeight="false" outlineLevel="0" collapsed="false">
      <c r="A354" s="10"/>
      <c r="D354" s="13"/>
    </row>
    <row r="355" customFormat="false" ht="15" hidden="false" customHeight="false" outlineLevel="0" collapsed="false">
      <c r="A355" s="10"/>
      <c r="D355" s="13"/>
    </row>
    <row r="356" customFormat="false" ht="15" hidden="false" customHeight="false" outlineLevel="0" collapsed="false">
      <c r="A356" s="10"/>
      <c r="D356" s="13"/>
    </row>
    <row r="357" customFormat="false" ht="15" hidden="false" customHeight="false" outlineLevel="0" collapsed="false">
      <c r="A357" s="10"/>
      <c r="D357" s="13"/>
    </row>
    <row r="358" customFormat="false" ht="15" hidden="false" customHeight="false" outlineLevel="0" collapsed="false">
      <c r="A358" s="10"/>
      <c r="D358" s="13"/>
    </row>
    <row r="359" customFormat="false" ht="15" hidden="false" customHeight="false" outlineLevel="0" collapsed="false">
      <c r="A359" s="10"/>
      <c r="D359" s="13"/>
    </row>
    <row r="360" customFormat="false" ht="15" hidden="false" customHeight="false" outlineLevel="0" collapsed="false">
      <c r="A360" s="10"/>
      <c r="D360" s="13"/>
    </row>
    <row r="361" customFormat="false" ht="15" hidden="false" customHeight="false" outlineLevel="0" collapsed="false">
      <c r="A361" s="10"/>
      <c r="D361" s="13"/>
    </row>
    <row r="362" customFormat="false" ht="15" hidden="false" customHeight="false" outlineLevel="0" collapsed="false">
      <c r="A362" s="10"/>
      <c r="D362" s="13"/>
    </row>
    <row r="363" customFormat="false" ht="15" hidden="false" customHeight="false" outlineLevel="0" collapsed="false">
      <c r="A363" s="10"/>
      <c r="D363" s="13"/>
    </row>
    <row r="364" customFormat="false" ht="15" hidden="false" customHeight="false" outlineLevel="0" collapsed="false">
      <c r="A364" s="10"/>
      <c r="D364" s="13"/>
    </row>
    <row r="365" customFormat="false" ht="15" hidden="false" customHeight="false" outlineLevel="0" collapsed="false">
      <c r="A365" s="10"/>
      <c r="D365" s="13"/>
    </row>
    <row r="366" customFormat="false" ht="15" hidden="false" customHeight="false" outlineLevel="0" collapsed="false">
      <c r="A366" s="10"/>
      <c r="D366" s="13"/>
    </row>
    <row r="367" customFormat="false" ht="15" hidden="false" customHeight="false" outlineLevel="0" collapsed="false">
      <c r="A367" s="10"/>
      <c r="D367" s="13"/>
    </row>
    <row r="368" customFormat="false" ht="15" hidden="false" customHeight="false" outlineLevel="0" collapsed="false">
      <c r="A368" s="10"/>
      <c r="D368" s="13"/>
    </row>
    <row r="369" customFormat="false" ht="15" hidden="false" customHeight="false" outlineLevel="0" collapsed="false">
      <c r="A369" s="10"/>
      <c r="D369" s="13"/>
    </row>
    <row r="370" customFormat="false" ht="15" hidden="false" customHeight="false" outlineLevel="0" collapsed="false">
      <c r="A370" s="10"/>
      <c r="D370" s="13"/>
    </row>
    <row r="371" customFormat="false" ht="15" hidden="false" customHeight="false" outlineLevel="0" collapsed="false">
      <c r="A371" s="10"/>
      <c r="D371" s="13"/>
    </row>
    <row r="372" customFormat="false" ht="15" hidden="false" customHeight="false" outlineLevel="0" collapsed="false">
      <c r="A372" s="10"/>
      <c r="D372" s="13"/>
    </row>
    <row r="373" customFormat="false" ht="15" hidden="false" customHeight="false" outlineLevel="0" collapsed="false">
      <c r="A373" s="10"/>
      <c r="D373" s="13"/>
    </row>
    <row r="374" customFormat="false" ht="15" hidden="false" customHeight="false" outlineLevel="0" collapsed="false">
      <c r="A374" s="10"/>
      <c r="D374" s="13"/>
    </row>
    <row r="375" customFormat="false" ht="15" hidden="false" customHeight="false" outlineLevel="0" collapsed="false">
      <c r="A375" s="10"/>
      <c r="D375" s="13"/>
    </row>
    <row r="376" customFormat="false" ht="15" hidden="false" customHeight="false" outlineLevel="0" collapsed="false">
      <c r="A376" s="10"/>
      <c r="D376" s="13"/>
    </row>
    <row r="377" customFormat="false" ht="15" hidden="false" customHeight="false" outlineLevel="0" collapsed="false">
      <c r="A377" s="10"/>
      <c r="D377" s="13"/>
    </row>
    <row r="378" customFormat="false" ht="15" hidden="false" customHeight="false" outlineLevel="0" collapsed="false">
      <c r="A378" s="10"/>
      <c r="D378" s="13"/>
    </row>
    <row r="379" customFormat="false" ht="15" hidden="false" customHeight="false" outlineLevel="0" collapsed="false">
      <c r="A379" s="10"/>
      <c r="D379" s="13"/>
    </row>
    <row r="380" customFormat="false" ht="15" hidden="false" customHeight="false" outlineLevel="0" collapsed="false">
      <c r="A380" s="10"/>
      <c r="D380" s="13"/>
    </row>
    <row r="381" customFormat="false" ht="15" hidden="false" customHeight="false" outlineLevel="0" collapsed="false">
      <c r="A381" s="10"/>
      <c r="D381" s="13"/>
    </row>
    <row r="382" customFormat="false" ht="15" hidden="false" customHeight="false" outlineLevel="0" collapsed="false">
      <c r="A382" s="10"/>
      <c r="D382" s="13"/>
    </row>
    <row r="383" customFormat="false" ht="15" hidden="false" customHeight="false" outlineLevel="0" collapsed="false">
      <c r="A383" s="10"/>
      <c r="D383" s="13"/>
    </row>
    <row r="384" customFormat="false" ht="15" hidden="false" customHeight="false" outlineLevel="0" collapsed="false">
      <c r="A384" s="10"/>
      <c r="D384" s="13"/>
    </row>
    <row r="385" customFormat="false" ht="15" hidden="false" customHeight="false" outlineLevel="0" collapsed="false">
      <c r="A385" s="10"/>
      <c r="D385" s="13"/>
    </row>
    <row r="386" customFormat="false" ht="15" hidden="false" customHeight="false" outlineLevel="0" collapsed="false">
      <c r="A386" s="10"/>
      <c r="D386" s="13"/>
    </row>
    <row r="387" customFormat="false" ht="15" hidden="false" customHeight="false" outlineLevel="0" collapsed="false">
      <c r="A387" s="10"/>
      <c r="D387" s="13"/>
    </row>
    <row r="388" customFormat="false" ht="15" hidden="false" customHeight="false" outlineLevel="0" collapsed="false">
      <c r="A388" s="10"/>
      <c r="D388" s="13"/>
    </row>
    <row r="389" customFormat="false" ht="15" hidden="false" customHeight="false" outlineLevel="0" collapsed="false">
      <c r="A389" s="10"/>
      <c r="D389" s="13"/>
    </row>
    <row r="390" customFormat="false" ht="15" hidden="false" customHeight="false" outlineLevel="0" collapsed="false">
      <c r="A390" s="10"/>
      <c r="D390" s="13"/>
    </row>
    <row r="391" customFormat="false" ht="15" hidden="false" customHeight="false" outlineLevel="0" collapsed="false">
      <c r="A391" s="10"/>
      <c r="D391" s="13"/>
    </row>
    <row r="392" customFormat="false" ht="15" hidden="false" customHeight="false" outlineLevel="0" collapsed="false">
      <c r="A392" s="10"/>
      <c r="D392" s="13"/>
    </row>
    <row r="393" customFormat="false" ht="15" hidden="false" customHeight="false" outlineLevel="0" collapsed="false">
      <c r="A393" s="10"/>
      <c r="D393" s="13"/>
    </row>
    <row r="394" customFormat="false" ht="15" hidden="false" customHeight="false" outlineLevel="0" collapsed="false">
      <c r="A394" s="10"/>
      <c r="D394" s="13"/>
    </row>
    <row r="395" customFormat="false" ht="15" hidden="false" customHeight="false" outlineLevel="0" collapsed="false">
      <c r="A395" s="10"/>
      <c r="D395" s="13"/>
    </row>
    <row r="396" customFormat="false" ht="15" hidden="false" customHeight="false" outlineLevel="0" collapsed="false">
      <c r="A396" s="10"/>
      <c r="D396" s="13"/>
    </row>
    <row r="397" customFormat="false" ht="15" hidden="false" customHeight="false" outlineLevel="0" collapsed="false">
      <c r="A397" s="10"/>
      <c r="D397" s="13"/>
    </row>
    <row r="398" customFormat="false" ht="15" hidden="false" customHeight="false" outlineLevel="0" collapsed="false">
      <c r="A398" s="10"/>
      <c r="D398" s="13"/>
    </row>
    <row r="399" customFormat="false" ht="15" hidden="false" customHeight="false" outlineLevel="0" collapsed="false">
      <c r="A399" s="10"/>
      <c r="D399" s="13"/>
    </row>
    <row r="400" customFormat="false" ht="15" hidden="false" customHeight="false" outlineLevel="0" collapsed="false">
      <c r="A400" s="10"/>
      <c r="D400" s="13"/>
    </row>
    <row r="401" customFormat="false" ht="15" hidden="false" customHeight="false" outlineLevel="0" collapsed="false">
      <c r="A401" s="10"/>
      <c r="D401" s="13"/>
    </row>
    <row r="402" customFormat="false" ht="15" hidden="false" customHeight="false" outlineLevel="0" collapsed="false">
      <c r="A402" s="10"/>
      <c r="D402" s="13"/>
    </row>
    <row r="403" customFormat="false" ht="15" hidden="false" customHeight="false" outlineLevel="0" collapsed="false">
      <c r="A403" s="10"/>
      <c r="D403" s="13"/>
    </row>
    <row r="404" customFormat="false" ht="15" hidden="false" customHeight="false" outlineLevel="0" collapsed="false">
      <c r="A404" s="10"/>
      <c r="D404" s="13"/>
    </row>
    <row r="405" customFormat="false" ht="15" hidden="false" customHeight="false" outlineLevel="0" collapsed="false">
      <c r="A405" s="10"/>
      <c r="D405" s="13"/>
    </row>
    <row r="406" customFormat="false" ht="15" hidden="false" customHeight="false" outlineLevel="0" collapsed="false">
      <c r="A406" s="10"/>
      <c r="D406" s="13"/>
    </row>
    <row r="407" customFormat="false" ht="15" hidden="false" customHeight="false" outlineLevel="0" collapsed="false">
      <c r="A407" s="10"/>
      <c r="D407" s="13"/>
    </row>
    <row r="408" customFormat="false" ht="15" hidden="false" customHeight="false" outlineLevel="0" collapsed="false">
      <c r="A408" s="10"/>
      <c r="D408" s="13"/>
    </row>
    <row r="409" customFormat="false" ht="15" hidden="false" customHeight="false" outlineLevel="0" collapsed="false">
      <c r="A409" s="10"/>
      <c r="D409" s="13"/>
    </row>
    <row r="410" customFormat="false" ht="15" hidden="false" customHeight="false" outlineLevel="0" collapsed="false">
      <c r="A410" s="10"/>
      <c r="D410" s="13"/>
    </row>
    <row r="411" customFormat="false" ht="15" hidden="false" customHeight="false" outlineLevel="0" collapsed="false">
      <c r="A411" s="10"/>
      <c r="D411" s="13"/>
    </row>
    <row r="412" customFormat="false" ht="15" hidden="false" customHeight="false" outlineLevel="0" collapsed="false">
      <c r="A412" s="10"/>
      <c r="D412" s="13"/>
    </row>
    <row r="413" customFormat="false" ht="15" hidden="false" customHeight="false" outlineLevel="0" collapsed="false">
      <c r="A413" s="10"/>
      <c r="D413" s="13"/>
    </row>
    <row r="414" customFormat="false" ht="15" hidden="false" customHeight="false" outlineLevel="0" collapsed="false">
      <c r="A414" s="10"/>
      <c r="D414" s="13"/>
    </row>
    <row r="415" customFormat="false" ht="15" hidden="false" customHeight="false" outlineLevel="0" collapsed="false">
      <c r="A415" s="10"/>
      <c r="D415" s="13"/>
    </row>
    <row r="416" customFormat="false" ht="15" hidden="false" customHeight="false" outlineLevel="0" collapsed="false">
      <c r="A416" s="10"/>
      <c r="D416" s="13"/>
    </row>
    <row r="417" customFormat="false" ht="15" hidden="false" customHeight="false" outlineLevel="0" collapsed="false">
      <c r="A417" s="10"/>
      <c r="D417" s="13"/>
    </row>
    <row r="418" customFormat="false" ht="15" hidden="false" customHeight="false" outlineLevel="0" collapsed="false">
      <c r="A418" s="10"/>
      <c r="D418" s="13"/>
    </row>
    <row r="419" customFormat="false" ht="15" hidden="false" customHeight="false" outlineLevel="0" collapsed="false">
      <c r="A419" s="10"/>
      <c r="D419" s="13"/>
    </row>
    <row r="420" customFormat="false" ht="15" hidden="false" customHeight="false" outlineLevel="0" collapsed="false">
      <c r="A420" s="10"/>
      <c r="D420" s="13"/>
    </row>
    <row r="421" customFormat="false" ht="15" hidden="false" customHeight="false" outlineLevel="0" collapsed="false">
      <c r="A421" s="10"/>
      <c r="D421" s="13"/>
    </row>
    <row r="422" customFormat="false" ht="15" hidden="false" customHeight="false" outlineLevel="0" collapsed="false">
      <c r="A422" s="10"/>
      <c r="D422" s="13"/>
    </row>
    <row r="423" customFormat="false" ht="15" hidden="false" customHeight="false" outlineLevel="0" collapsed="false">
      <c r="A423" s="10"/>
      <c r="D423" s="13"/>
    </row>
    <row r="424" customFormat="false" ht="15" hidden="false" customHeight="false" outlineLevel="0" collapsed="false">
      <c r="A424" s="10"/>
      <c r="D424" s="13"/>
    </row>
    <row r="425" customFormat="false" ht="15" hidden="false" customHeight="false" outlineLevel="0" collapsed="false">
      <c r="A425" s="10"/>
      <c r="D425" s="13"/>
    </row>
    <row r="426" customFormat="false" ht="15" hidden="false" customHeight="false" outlineLevel="0" collapsed="false">
      <c r="A426" s="10"/>
      <c r="D426" s="13"/>
    </row>
    <row r="427" customFormat="false" ht="15" hidden="false" customHeight="false" outlineLevel="0" collapsed="false">
      <c r="A427" s="10"/>
      <c r="D427" s="13"/>
    </row>
    <row r="428" customFormat="false" ht="15" hidden="false" customHeight="false" outlineLevel="0" collapsed="false">
      <c r="A428" s="10"/>
      <c r="D428" s="13"/>
    </row>
    <row r="429" customFormat="false" ht="15" hidden="false" customHeight="false" outlineLevel="0" collapsed="false">
      <c r="A429" s="10"/>
      <c r="D429" s="13"/>
    </row>
    <row r="430" customFormat="false" ht="15" hidden="false" customHeight="false" outlineLevel="0" collapsed="false">
      <c r="A430" s="10"/>
      <c r="D430" s="13"/>
    </row>
    <row r="431" customFormat="false" ht="15" hidden="false" customHeight="false" outlineLevel="0" collapsed="false">
      <c r="A431" s="10"/>
      <c r="D431" s="13"/>
    </row>
    <row r="432" customFormat="false" ht="15" hidden="false" customHeight="false" outlineLevel="0" collapsed="false">
      <c r="A432" s="10"/>
      <c r="D432" s="13"/>
    </row>
    <row r="433" customFormat="false" ht="15" hidden="false" customHeight="false" outlineLevel="0" collapsed="false">
      <c r="A433" s="10"/>
      <c r="D433" s="13"/>
    </row>
    <row r="434" customFormat="false" ht="15" hidden="false" customHeight="false" outlineLevel="0" collapsed="false">
      <c r="A434" s="10"/>
      <c r="D434" s="13"/>
    </row>
    <row r="435" customFormat="false" ht="15" hidden="false" customHeight="false" outlineLevel="0" collapsed="false">
      <c r="A435" s="10"/>
      <c r="D435" s="13"/>
    </row>
    <row r="436" customFormat="false" ht="15" hidden="false" customHeight="false" outlineLevel="0" collapsed="false">
      <c r="A436" s="10"/>
      <c r="D436" s="13"/>
    </row>
    <row r="437" customFormat="false" ht="15" hidden="false" customHeight="false" outlineLevel="0" collapsed="false">
      <c r="A437" s="10"/>
      <c r="D437" s="13"/>
    </row>
    <row r="438" customFormat="false" ht="15" hidden="false" customHeight="false" outlineLevel="0" collapsed="false">
      <c r="A438" s="10"/>
      <c r="D438" s="13"/>
    </row>
    <row r="439" customFormat="false" ht="15" hidden="false" customHeight="false" outlineLevel="0" collapsed="false">
      <c r="A439" s="10"/>
      <c r="D439" s="13"/>
    </row>
    <row r="440" customFormat="false" ht="15" hidden="false" customHeight="false" outlineLevel="0" collapsed="false">
      <c r="A440" s="10"/>
      <c r="D440" s="13"/>
    </row>
    <row r="441" customFormat="false" ht="15" hidden="false" customHeight="false" outlineLevel="0" collapsed="false">
      <c r="A441" s="10"/>
      <c r="D441" s="13"/>
    </row>
    <row r="442" customFormat="false" ht="15" hidden="false" customHeight="false" outlineLevel="0" collapsed="false">
      <c r="A442" s="10"/>
      <c r="D442" s="13"/>
    </row>
    <row r="443" customFormat="false" ht="15" hidden="false" customHeight="false" outlineLevel="0" collapsed="false">
      <c r="A443" s="10"/>
      <c r="D443" s="13"/>
    </row>
    <row r="444" customFormat="false" ht="15" hidden="false" customHeight="false" outlineLevel="0" collapsed="false">
      <c r="A444" s="10"/>
      <c r="D444" s="13"/>
    </row>
    <row r="445" customFormat="false" ht="15" hidden="false" customHeight="false" outlineLevel="0" collapsed="false">
      <c r="A445" s="10"/>
      <c r="D445" s="13"/>
    </row>
    <row r="446" customFormat="false" ht="15" hidden="false" customHeight="false" outlineLevel="0" collapsed="false">
      <c r="A446" s="10"/>
      <c r="D446" s="13"/>
    </row>
    <row r="447" customFormat="false" ht="15" hidden="false" customHeight="false" outlineLevel="0" collapsed="false">
      <c r="A447" s="10"/>
      <c r="D447" s="13"/>
    </row>
    <row r="448" customFormat="false" ht="15" hidden="false" customHeight="false" outlineLevel="0" collapsed="false">
      <c r="A448" s="10"/>
      <c r="D448" s="13"/>
    </row>
    <row r="449" customFormat="false" ht="15" hidden="false" customHeight="false" outlineLevel="0" collapsed="false">
      <c r="A449" s="10"/>
      <c r="D449" s="13"/>
    </row>
    <row r="450" customFormat="false" ht="15" hidden="false" customHeight="false" outlineLevel="0" collapsed="false">
      <c r="A450" s="10"/>
      <c r="D450" s="13"/>
    </row>
    <row r="451" customFormat="false" ht="15" hidden="false" customHeight="false" outlineLevel="0" collapsed="false">
      <c r="A451" s="10"/>
      <c r="D451" s="13"/>
    </row>
    <row r="452" customFormat="false" ht="15" hidden="false" customHeight="false" outlineLevel="0" collapsed="false">
      <c r="A452" s="10"/>
      <c r="D452" s="13"/>
    </row>
    <row r="453" customFormat="false" ht="15" hidden="false" customHeight="false" outlineLevel="0" collapsed="false">
      <c r="A453" s="10"/>
      <c r="D453" s="13"/>
    </row>
    <row r="454" customFormat="false" ht="15" hidden="false" customHeight="false" outlineLevel="0" collapsed="false">
      <c r="A454" s="10"/>
      <c r="D454" s="13"/>
    </row>
    <row r="455" customFormat="false" ht="15" hidden="false" customHeight="false" outlineLevel="0" collapsed="false">
      <c r="A455" s="10"/>
      <c r="D455" s="13"/>
    </row>
    <row r="456" customFormat="false" ht="15" hidden="false" customHeight="false" outlineLevel="0" collapsed="false">
      <c r="A456" s="10"/>
      <c r="D456" s="13"/>
    </row>
    <row r="457" customFormat="false" ht="15" hidden="false" customHeight="false" outlineLevel="0" collapsed="false">
      <c r="A457" s="10"/>
      <c r="D457" s="13"/>
    </row>
    <row r="458" customFormat="false" ht="15" hidden="false" customHeight="false" outlineLevel="0" collapsed="false">
      <c r="A458" s="10"/>
      <c r="D458" s="13"/>
    </row>
    <row r="459" customFormat="false" ht="15" hidden="false" customHeight="false" outlineLevel="0" collapsed="false">
      <c r="A459" s="10"/>
      <c r="D459" s="13"/>
    </row>
    <row r="460" customFormat="false" ht="15" hidden="false" customHeight="false" outlineLevel="0" collapsed="false">
      <c r="A460" s="10"/>
      <c r="D460" s="13"/>
    </row>
    <row r="461" customFormat="false" ht="15" hidden="false" customHeight="false" outlineLevel="0" collapsed="false">
      <c r="A461" s="10"/>
      <c r="D461" s="13"/>
    </row>
    <row r="462" customFormat="false" ht="15" hidden="false" customHeight="false" outlineLevel="0" collapsed="false">
      <c r="A462" s="10"/>
      <c r="D462" s="13"/>
    </row>
    <row r="463" customFormat="false" ht="15" hidden="false" customHeight="false" outlineLevel="0" collapsed="false">
      <c r="A463" s="10"/>
      <c r="D463" s="13"/>
    </row>
    <row r="464" customFormat="false" ht="15" hidden="false" customHeight="false" outlineLevel="0" collapsed="false">
      <c r="A464" s="10"/>
      <c r="D464" s="13"/>
    </row>
    <row r="465" customFormat="false" ht="15" hidden="false" customHeight="false" outlineLevel="0" collapsed="false">
      <c r="A465" s="10"/>
      <c r="D465" s="13"/>
    </row>
    <row r="466" customFormat="false" ht="15" hidden="false" customHeight="false" outlineLevel="0" collapsed="false">
      <c r="A466" s="10"/>
      <c r="D466" s="13"/>
    </row>
    <row r="467" customFormat="false" ht="15" hidden="false" customHeight="false" outlineLevel="0" collapsed="false">
      <c r="A467" s="10"/>
      <c r="D467" s="13"/>
    </row>
    <row r="468" customFormat="false" ht="15" hidden="false" customHeight="false" outlineLevel="0" collapsed="false">
      <c r="A468" s="10"/>
      <c r="D468" s="13"/>
    </row>
    <row r="469" customFormat="false" ht="15" hidden="false" customHeight="false" outlineLevel="0" collapsed="false">
      <c r="A469" s="10"/>
      <c r="D469" s="13"/>
    </row>
    <row r="470" customFormat="false" ht="15" hidden="false" customHeight="false" outlineLevel="0" collapsed="false">
      <c r="A470" s="10"/>
      <c r="D470" s="13"/>
    </row>
    <row r="471" customFormat="false" ht="15" hidden="false" customHeight="false" outlineLevel="0" collapsed="false">
      <c r="A471" s="10"/>
      <c r="D471" s="13"/>
    </row>
    <row r="472" customFormat="false" ht="15" hidden="false" customHeight="false" outlineLevel="0" collapsed="false">
      <c r="A472" s="10"/>
      <c r="D472" s="13"/>
    </row>
    <row r="473" customFormat="false" ht="15" hidden="false" customHeight="false" outlineLevel="0" collapsed="false">
      <c r="A473" s="10"/>
      <c r="D473" s="13"/>
    </row>
    <row r="474" customFormat="false" ht="15" hidden="false" customHeight="false" outlineLevel="0" collapsed="false">
      <c r="A474" s="10"/>
      <c r="D474" s="13"/>
    </row>
    <row r="475" customFormat="false" ht="15" hidden="false" customHeight="false" outlineLevel="0" collapsed="false">
      <c r="A475" s="10"/>
      <c r="D475" s="13"/>
    </row>
    <row r="476" customFormat="false" ht="15" hidden="false" customHeight="false" outlineLevel="0" collapsed="false">
      <c r="A476" s="10"/>
      <c r="D476" s="13"/>
    </row>
    <row r="477" customFormat="false" ht="15" hidden="false" customHeight="false" outlineLevel="0" collapsed="false">
      <c r="A477" s="10"/>
      <c r="D477" s="13"/>
    </row>
    <row r="478" customFormat="false" ht="15" hidden="false" customHeight="false" outlineLevel="0" collapsed="false">
      <c r="A478" s="10"/>
      <c r="D478" s="13"/>
    </row>
    <row r="479" customFormat="false" ht="15" hidden="false" customHeight="false" outlineLevel="0" collapsed="false">
      <c r="A479" s="10"/>
      <c r="D479" s="13"/>
    </row>
    <row r="480" customFormat="false" ht="15" hidden="false" customHeight="false" outlineLevel="0" collapsed="false">
      <c r="A480" s="10"/>
      <c r="D480" s="13"/>
    </row>
    <row r="481" customFormat="false" ht="15" hidden="false" customHeight="false" outlineLevel="0" collapsed="false">
      <c r="A481" s="10"/>
      <c r="D481" s="13"/>
    </row>
    <row r="482" customFormat="false" ht="15" hidden="false" customHeight="false" outlineLevel="0" collapsed="false">
      <c r="A482" s="10"/>
      <c r="D482" s="13"/>
    </row>
    <row r="483" customFormat="false" ht="15" hidden="false" customHeight="false" outlineLevel="0" collapsed="false">
      <c r="A483" s="10"/>
      <c r="D483" s="13"/>
    </row>
    <row r="484" customFormat="false" ht="15" hidden="false" customHeight="false" outlineLevel="0" collapsed="false">
      <c r="A484" s="10"/>
      <c r="D484" s="13"/>
    </row>
    <row r="485" customFormat="false" ht="15" hidden="false" customHeight="false" outlineLevel="0" collapsed="false">
      <c r="A485" s="10"/>
      <c r="D485" s="13"/>
    </row>
    <row r="486" customFormat="false" ht="15" hidden="false" customHeight="false" outlineLevel="0" collapsed="false">
      <c r="A486" s="10"/>
      <c r="D486" s="13"/>
    </row>
    <row r="487" customFormat="false" ht="15" hidden="false" customHeight="false" outlineLevel="0" collapsed="false">
      <c r="A487" s="10"/>
      <c r="D487" s="13"/>
    </row>
    <row r="488" customFormat="false" ht="15" hidden="false" customHeight="false" outlineLevel="0" collapsed="false">
      <c r="A488" s="10"/>
      <c r="D488" s="13"/>
    </row>
    <row r="489" customFormat="false" ht="15" hidden="false" customHeight="false" outlineLevel="0" collapsed="false">
      <c r="A489" s="10"/>
      <c r="D489" s="13"/>
    </row>
    <row r="490" customFormat="false" ht="15" hidden="false" customHeight="false" outlineLevel="0" collapsed="false">
      <c r="A490" s="10"/>
      <c r="D490" s="13"/>
    </row>
    <row r="491" customFormat="false" ht="15" hidden="false" customHeight="false" outlineLevel="0" collapsed="false">
      <c r="A491" s="10"/>
      <c r="D491" s="13"/>
    </row>
    <row r="492" customFormat="false" ht="15" hidden="false" customHeight="false" outlineLevel="0" collapsed="false">
      <c r="A492" s="10"/>
      <c r="D492" s="13"/>
    </row>
    <row r="493" customFormat="false" ht="15" hidden="false" customHeight="false" outlineLevel="0" collapsed="false">
      <c r="A493" s="10"/>
      <c r="D493" s="13"/>
    </row>
    <row r="494" customFormat="false" ht="15" hidden="false" customHeight="false" outlineLevel="0" collapsed="false">
      <c r="A494" s="10"/>
      <c r="D494" s="13"/>
    </row>
    <row r="495" customFormat="false" ht="15" hidden="false" customHeight="false" outlineLevel="0" collapsed="false">
      <c r="A495" s="10"/>
      <c r="D495" s="13"/>
    </row>
    <row r="496" customFormat="false" ht="15" hidden="false" customHeight="false" outlineLevel="0" collapsed="false">
      <c r="A496" s="10"/>
      <c r="D496" s="13"/>
    </row>
    <row r="497" customFormat="false" ht="15" hidden="false" customHeight="false" outlineLevel="0" collapsed="false">
      <c r="A497" s="10"/>
      <c r="D497" s="13"/>
    </row>
    <row r="498" customFormat="false" ht="15" hidden="false" customHeight="false" outlineLevel="0" collapsed="false">
      <c r="A498" s="10"/>
      <c r="D498" s="13"/>
    </row>
    <row r="499" customFormat="false" ht="15" hidden="false" customHeight="false" outlineLevel="0" collapsed="false">
      <c r="A499" s="10"/>
      <c r="D499" s="13"/>
    </row>
    <row r="500" customFormat="false" ht="15" hidden="false" customHeight="false" outlineLevel="0" collapsed="false">
      <c r="A500" s="10"/>
      <c r="D500" s="13"/>
    </row>
    <row r="503" customFormat="false" ht="15" hidden="false" customHeight="false" outlineLevel="0" collapsed="false">
      <c r="A503" s="1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4" t="s">
        <v>65</v>
      </c>
      <c r="B1" s="4" t="s">
        <v>66</v>
      </c>
      <c r="C1" s="4" t="s">
        <v>67</v>
      </c>
      <c r="D1" s="4" t="s">
        <v>24</v>
      </c>
      <c r="E1" s="4" t="s">
        <v>68</v>
      </c>
      <c r="F1" s="4" t="s">
        <v>29</v>
      </c>
    </row>
    <row r="2" customFormat="false" ht="15" hidden="false" customHeight="false" outlineLevel="0" collapsed="false">
      <c r="A2" s="5" t="s">
        <v>69</v>
      </c>
      <c r="B2" s="5" t="s">
        <v>70</v>
      </c>
      <c r="C2" s="6" t="n">
        <v>800</v>
      </c>
      <c r="D2" s="7" t="n">
        <v>46224</v>
      </c>
      <c r="E2" s="5" t="s">
        <v>71</v>
      </c>
      <c r="F2" s="5" t="s">
        <v>72</v>
      </c>
    </row>
    <row r="3" customFormat="false" ht="15" hidden="false" customHeight="false" outlineLevel="0" collapsed="false">
      <c r="A3" s="5" t="s">
        <v>73</v>
      </c>
      <c r="B3" s="5" t="s">
        <v>74</v>
      </c>
      <c r="C3" s="6" t="n">
        <v>7</v>
      </c>
      <c r="D3" s="7" t="n">
        <v>46224</v>
      </c>
      <c r="E3" s="5" t="s">
        <v>71</v>
      </c>
      <c r="F3" s="5" t="s">
        <v>75</v>
      </c>
    </row>
    <row r="4" customFormat="false" ht="15" hidden="false" customHeight="false" outlineLevel="0" collapsed="false">
      <c r="C4" s="8"/>
      <c r="D4" s="10"/>
    </row>
    <row r="5" customFormat="false" ht="15" hidden="false" customHeight="false" outlineLevel="0" collapsed="false">
      <c r="C5" s="8"/>
      <c r="D5" s="10"/>
    </row>
    <row r="6" customFormat="false" ht="15" hidden="false" customHeight="false" outlineLevel="0" collapsed="false">
      <c r="C6" s="8"/>
      <c r="D6" s="10"/>
    </row>
    <row r="7" customFormat="false" ht="15" hidden="false" customHeight="false" outlineLevel="0" collapsed="false">
      <c r="C7" s="8"/>
      <c r="D7" s="10"/>
    </row>
    <row r="8" customFormat="false" ht="15" hidden="false" customHeight="false" outlineLevel="0" collapsed="false">
      <c r="C8" s="8"/>
      <c r="D8" s="10"/>
    </row>
    <row r="9" customFormat="false" ht="15" hidden="false" customHeight="false" outlineLevel="0" collapsed="false">
      <c r="C9" s="8"/>
      <c r="D9" s="10"/>
    </row>
    <row r="10" customFormat="false" ht="15" hidden="false" customHeight="false" outlineLevel="0" collapsed="false">
      <c r="C10" s="8"/>
      <c r="D10" s="10"/>
    </row>
    <row r="11" customFormat="false" ht="15" hidden="false" customHeight="false" outlineLevel="0" collapsed="false">
      <c r="C11" s="8"/>
      <c r="D11" s="10"/>
    </row>
    <row r="12" customFormat="false" ht="15" hidden="false" customHeight="false" outlineLevel="0" collapsed="false">
      <c r="C12" s="8"/>
      <c r="D12" s="10"/>
    </row>
    <row r="13" customFormat="false" ht="15" hidden="false" customHeight="false" outlineLevel="0" collapsed="false">
      <c r="C13" s="8"/>
      <c r="D13" s="10"/>
    </row>
    <row r="14" customFormat="false" ht="15" hidden="false" customHeight="false" outlineLevel="0" collapsed="false">
      <c r="C14" s="8"/>
      <c r="D14" s="10"/>
    </row>
    <row r="15" customFormat="false" ht="15" hidden="false" customHeight="false" outlineLevel="0" collapsed="false">
      <c r="C15" s="8"/>
      <c r="D15" s="10"/>
    </row>
    <row r="16" customFormat="false" ht="15" hidden="false" customHeight="false" outlineLevel="0" collapsed="false">
      <c r="C16" s="8"/>
      <c r="D16" s="10"/>
    </row>
    <row r="17" customFormat="false" ht="15" hidden="false" customHeight="false" outlineLevel="0" collapsed="false">
      <c r="C17" s="8"/>
      <c r="D17" s="10"/>
    </row>
    <row r="18" customFormat="false" ht="15" hidden="false" customHeight="false" outlineLevel="0" collapsed="false">
      <c r="C18" s="8"/>
      <c r="D18" s="10"/>
    </row>
    <row r="19" customFormat="false" ht="15" hidden="false" customHeight="false" outlineLevel="0" collapsed="false">
      <c r="C19" s="8"/>
      <c r="D19" s="10"/>
    </row>
    <row r="20" customFormat="false" ht="15" hidden="false" customHeight="false" outlineLevel="0" collapsed="false">
      <c r="C20" s="8"/>
      <c r="D20" s="10"/>
    </row>
    <row r="21" customFormat="false" ht="15" hidden="false" customHeight="false" outlineLevel="0" collapsed="false">
      <c r="C21" s="8"/>
      <c r="D21" s="10"/>
    </row>
    <row r="22" customFormat="false" ht="15" hidden="false" customHeight="false" outlineLevel="0" collapsed="false">
      <c r="C22" s="8"/>
      <c r="D22" s="10"/>
    </row>
    <row r="23" customFormat="false" ht="15" hidden="false" customHeight="false" outlineLevel="0" collapsed="false">
      <c r="C23" s="8"/>
      <c r="D23" s="10"/>
    </row>
    <row r="24" customFormat="false" ht="15" hidden="false" customHeight="false" outlineLevel="0" collapsed="false">
      <c r="C24" s="8"/>
      <c r="D24" s="10"/>
    </row>
    <row r="25" customFormat="false" ht="15" hidden="false" customHeight="false" outlineLevel="0" collapsed="false">
      <c r="C25" s="8"/>
      <c r="D25" s="10"/>
    </row>
    <row r="26" customFormat="false" ht="15" hidden="false" customHeight="false" outlineLevel="0" collapsed="false">
      <c r="C26" s="8"/>
      <c r="D26" s="10"/>
    </row>
    <row r="27" customFormat="false" ht="15" hidden="false" customHeight="false" outlineLevel="0" collapsed="false">
      <c r="C27" s="8"/>
      <c r="D27" s="10"/>
    </row>
    <row r="28" customFormat="false" ht="15" hidden="false" customHeight="false" outlineLevel="0" collapsed="false">
      <c r="C28" s="8"/>
      <c r="D28" s="10"/>
    </row>
    <row r="29" customFormat="false" ht="15" hidden="false" customHeight="false" outlineLevel="0" collapsed="false">
      <c r="C29" s="8"/>
      <c r="D29" s="10"/>
    </row>
    <row r="30" customFormat="false" ht="15" hidden="false" customHeight="false" outlineLevel="0" collapsed="false">
      <c r="C30" s="8"/>
      <c r="D30" s="10"/>
    </row>
    <row r="31" customFormat="false" ht="15" hidden="false" customHeight="false" outlineLevel="0" collapsed="false">
      <c r="C31" s="8"/>
      <c r="D31" s="10"/>
    </row>
    <row r="32" customFormat="false" ht="15" hidden="false" customHeight="false" outlineLevel="0" collapsed="false">
      <c r="C32" s="8"/>
      <c r="D32" s="10"/>
    </row>
    <row r="33" customFormat="false" ht="15" hidden="false" customHeight="false" outlineLevel="0" collapsed="false">
      <c r="C33" s="8"/>
      <c r="D33" s="10"/>
    </row>
    <row r="34" customFormat="false" ht="15" hidden="false" customHeight="false" outlineLevel="0" collapsed="false">
      <c r="C34" s="8"/>
      <c r="D34" s="10"/>
    </row>
    <row r="35" customFormat="false" ht="15" hidden="false" customHeight="false" outlineLevel="0" collapsed="false">
      <c r="C35" s="8"/>
      <c r="D35" s="10"/>
    </row>
    <row r="36" customFormat="false" ht="15" hidden="false" customHeight="false" outlineLevel="0" collapsed="false">
      <c r="C36" s="8"/>
      <c r="D36" s="10"/>
    </row>
    <row r="37" customFormat="false" ht="15" hidden="false" customHeight="false" outlineLevel="0" collapsed="false">
      <c r="C37" s="8"/>
      <c r="D37" s="10"/>
    </row>
    <row r="38" customFormat="false" ht="15" hidden="false" customHeight="false" outlineLevel="0" collapsed="false">
      <c r="C38" s="8"/>
      <c r="D38" s="10"/>
    </row>
    <row r="39" customFormat="false" ht="15" hidden="false" customHeight="false" outlineLevel="0" collapsed="false">
      <c r="C39" s="8"/>
      <c r="D39" s="10"/>
    </row>
    <row r="40" customFormat="false" ht="15" hidden="false" customHeight="false" outlineLevel="0" collapsed="false">
      <c r="C40" s="8"/>
      <c r="D40" s="10"/>
    </row>
    <row r="41" customFormat="false" ht="15" hidden="false" customHeight="false" outlineLevel="0" collapsed="false">
      <c r="C41" s="8"/>
      <c r="D41" s="10"/>
    </row>
    <row r="42" customFormat="false" ht="15" hidden="false" customHeight="false" outlineLevel="0" collapsed="false">
      <c r="C42" s="8"/>
      <c r="D42" s="10"/>
    </row>
    <row r="43" customFormat="false" ht="15" hidden="false" customHeight="false" outlineLevel="0" collapsed="false">
      <c r="C43" s="8"/>
      <c r="D43" s="10"/>
    </row>
    <row r="44" customFormat="false" ht="15" hidden="false" customHeight="false" outlineLevel="0" collapsed="false">
      <c r="C44" s="8"/>
      <c r="D44" s="10"/>
    </row>
    <row r="45" customFormat="false" ht="15" hidden="false" customHeight="false" outlineLevel="0" collapsed="false">
      <c r="C45" s="8"/>
      <c r="D45" s="10"/>
    </row>
    <row r="46" customFormat="false" ht="15" hidden="false" customHeight="false" outlineLevel="0" collapsed="false">
      <c r="C46" s="8"/>
      <c r="D46" s="10"/>
    </row>
    <row r="47" customFormat="false" ht="15" hidden="false" customHeight="false" outlineLevel="0" collapsed="false">
      <c r="C47" s="8"/>
      <c r="D47" s="10"/>
    </row>
    <row r="48" customFormat="false" ht="15" hidden="false" customHeight="false" outlineLevel="0" collapsed="false">
      <c r="C48" s="8"/>
      <c r="D48" s="10"/>
    </row>
    <row r="49" customFormat="false" ht="15" hidden="false" customHeight="false" outlineLevel="0" collapsed="false">
      <c r="C49" s="8"/>
      <c r="D49" s="10"/>
    </row>
    <row r="50" customFormat="false" ht="15" hidden="false" customHeight="false" outlineLevel="0" collapsed="false">
      <c r="C50" s="8"/>
      <c r="D50" s="10"/>
    </row>
    <row r="53" customFormat="false" ht="15" hidden="false" customHeight="false" outlineLevel="0" collapsed="false">
      <c r="A53" s="1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34"/>
    <col collapsed="false" customWidth="true" hidden="false" outlineLevel="0" max="6" min="6" style="0" width="18"/>
  </cols>
  <sheetData>
    <row r="2" customFormat="false" ht="22.05" hidden="false" customHeight="false" outlineLevel="0" collapsed="false">
      <c r="B2" s="1" t="s">
        <v>77</v>
      </c>
    </row>
    <row r="3" customFormat="false" ht="15" hidden="false" customHeight="false" outlineLevel="0" collapsed="false">
      <c r="B3" s="11" t="s">
        <v>78</v>
      </c>
    </row>
    <row r="5" customFormat="false" ht="15" hidden="false" customHeight="false" outlineLevel="0" collapsed="false">
      <c r="B5" s="14" t="s">
        <v>79</v>
      </c>
      <c r="C5" s="14"/>
      <c r="E5" s="14" t="s">
        <v>80</v>
      </c>
      <c r="F5" s="14"/>
    </row>
    <row r="6" customFormat="false" ht="15" hidden="false" customHeight="false" outlineLevel="0" collapsed="false">
      <c r="B6" s="15" t="s">
        <v>81</v>
      </c>
      <c r="C6" s="16" t="n">
        <f aca="false">SUM(Payments!C2:C500)</f>
        <v>150</v>
      </c>
      <c r="E6" s="15" t="s">
        <v>82</v>
      </c>
      <c r="F6" s="16" t="n">
        <f aca="false">SUM(Expenses!D2:D500)</f>
        <v>22.33</v>
      </c>
    </row>
    <row r="7" customFormat="false" ht="15" hidden="false" customHeight="false" outlineLevel="0" collapsed="false">
      <c r="B7" s="15" t="s">
        <v>83</v>
      </c>
      <c r="C7" s="16" t="n">
        <f aca="true">SUMPRODUCT((TEXT(Payments!A2:A500,"yyyy-mm")=TEXT(TODAY(),"yyyy-mm"))*Payments!C2:C500)</f>
        <v>150</v>
      </c>
      <c r="E7" s="15" t="s">
        <v>84</v>
      </c>
      <c r="F7" s="16" t="n">
        <f aca="true">SUMPRODUCT((TEXT(Expenses!A2:A500,"yyyy-mm")=TEXT(TODAY(),"yyyy-mm"))*Expenses!D2:D500)</f>
        <v>22.33</v>
      </c>
    </row>
    <row r="8" customFormat="false" ht="15" hidden="false" customHeight="false" outlineLevel="0" collapsed="false">
      <c r="B8" s="15" t="s">
        <v>85</v>
      </c>
      <c r="C8" s="16" t="n">
        <f aca="true">SUMPRODUCT((Payments!A2:A500&gt;=TODAY()-30)*(Payments!A2:A500&lt;=TODAY())*Payments!C2:C500)</f>
        <v>150</v>
      </c>
      <c r="E8" s="15" t="s">
        <v>86</v>
      </c>
      <c r="F8" s="16" t="n">
        <f aca="false">SUMIFS('Team Costs'!C2:C50,'Team Costs'!E2:E50,"Yes")</f>
        <v>807</v>
      </c>
    </row>
    <row r="9" customFormat="false" ht="15" hidden="false" customHeight="false" outlineLevel="0" collapsed="false">
      <c r="B9" s="15" t="s">
        <v>87</v>
      </c>
      <c r="C9" s="17" t="n">
        <f aca="false">COUNTIFS(Clients!H2:H200,"Active")</f>
        <v>1</v>
      </c>
      <c r="E9" s="15" t="s">
        <v>88</v>
      </c>
      <c r="F9" s="17" t="n">
        <f aca="false">COUNTIFS('Team Costs'!E2:E50,"Yes")</f>
        <v>2</v>
      </c>
    </row>
    <row r="10" customFormat="false" ht="15" hidden="false" customHeight="false" outlineLevel="0" collapsed="false">
      <c r="B10" s="15" t="s">
        <v>89</v>
      </c>
      <c r="C10" s="17" t="n">
        <f aca="false">COUNTIF(Clients!A2:A200,"?*")</f>
        <v>1</v>
      </c>
      <c r="E10" s="15" t="s">
        <v>90</v>
      </c>
      <c r="F10" s="16" t="n">
        <f aca="false">F7+F8</f>
        <v>829.33</v>
      </c>
    </row>
    <row r="12" customFormat="false" ht="15" hidden="false" customHeight="false" outlineLevel="0" collapsed="false">
      <c r="B12" s="14" t="s">
        <v>91</v>
      </c>
      <c r="C12" s="14"/>
    </row>
    <row r="13" customFormat="false" ht="15" hidden="false" customHeight="false" outlineLevel="0" collapsed="false">
      <c r="B13" s="15" t="s">
        <v>92</v>
      </c>
      <c r="C13" s="16" t="n">
        <f aca="false">C7-F7</f>
        <v>127.67</v>
      </c>
    </row>
    <row r="14" customFormat="false" ht="15" hidden="false" customHeight="false" outlineLevel="0" collapsed="false">
      <c r="B14" s="15" t="s">
        <v>93</v>
      </c>
      <c r="C14" s="16" t="n">
        <f aca="true">C8-SUMPRODUCT((Expenses!A2:A500&gt;=TODAY()-30)*(Expenses!A2:A500&lt;=TODAY())*Expenses!D2:D500)</f>
        <v>127.67</v>
      </c>
    </row>
    <row r="15" customFormat="false" ht="15" hidden="false" customHeight="false" outlineLevel="0" collapsed="false">
      <c r="B15" s="15" t="s">
        <v>94</v>
      </c>
      <c r="C15" s="17" t="n">
        <f aca="false">IF(F10=0,0,ROUNDUP(F10/150,0))</f>
        <v>6</v>
      </c>
    </row>
    <row r="17" customFormat="false" ht="15" hidden="false" customHeight="false" outlineLevel="0" collapsed="false">
      <c r="B17" s="14" t="s">
        <v>95</v>
      </c>
      <c r="C17" s="14"/>
      <c r="D17" s="14"/>
      <c r="E17" s="14"/>
      <c r="F17" s="14"/>
    </row>
    <row r="18" customFormat="false" ht="15" hidden="false" customHeight="false" outlineLevel="0" collapsed="false">
      <c r="B18" s="15" t="s">
        <v>18</v>
      </c>
      <c r="C18" s="15" t="s">
        <v>96</v>
      </c>
      <c r="D18" s="15" t="s">
        <v>97</v>
      </c>
      <c r="E18" s="15" t="s">
        <v>98</v>
      </c>
      <c r="F18" s="15" t="s">
        <v>25</v>
      </c>
    </row>
    <row r="19" customFormat="false" ht="15" hidden="false" customHeight="false" outlineLevel="0" collapsed="false">
      <c r="B19" s="18" t="str">
        <f aca="false">IF(Clients!A3="","",Clients!A3)</f>
        <v/>
      </c>
      <c r="C19" s="18" t="str">
        <f aca="false">IF(Clients!A3="","",Clients!B3)</f>
        <v/>
      </c>
      <c r="D19" s="17" t="str">
        <f aca="false">IF(Clients!A3="","",Clients!K3)</f>
        <v/>
      </c>
      <c r="E19" s="16" t="str">
        <f aca="false">IF(Clients!A3="","",Clients!J3)</f>
        <v/>
      </c>
      <c r="F19" s="18" t="str">
        <f aca="false">IF(Clients!A3="","",Clients!H3)</f>
        <v/>
      </c>
    </row>
    <row r="20" customFormat="false" ht="15" hidden="false" customHeight="false" outlineLevel="0" collapsed="false">
      <c r="B20" s="18" t="str">
        <f aca="false">IF(Clients!A4="","",Clients!A4)</f>
        <v/>
      </c>
      <c r="C20" s="18" t="str">
        <f aca="false">IF(Clients!A4="","",Clients!B4)</f>
        <v/>
      </c>
      <c r="D20" s="17" t="str">
        <f aca="false">IF(Clients!A4="","",Clients!K4)</f>
        <v/>
      </c>
      <c r="E20" s="16" t="str">
        <f aca="false">IF(Clients!A4="","",Clients!J4)</f>
        <v/>
      </c>
      <c r="F20" s="18" t="str">
        <f aca="false">IF(Clients!A4="","",Clients!H4)</f>
        <v/>
      </c>
    </row>
    <row r="21" customFormat="false" ht="15" hidden="false" customHeight="false" outlineLevel="0" collapsed="false">
      <c r="B21" s="18" t="str">
        <f aca="false">IF(Clients!A5="","",Clients!A5)</f>
        <v/>
      </c>
      <c r="C21" s="18" t="str">
        <f aca="false">IF(Clients!A5="","",Clients!B5)</f>
        <v/>
      </c>
      <c r="D21" s="17" t="str">
        <f aca="false">IF(Clients!A5="","",Clients!K5)</f>
        <v/>
      </c>
      <c r="E21" s="16" t="str">
        <f aca="false">IF(Clients!A5="","",Clients!J5)</f>
        <v/>
      </c>
      <c r="F21" s="18" t="str">
        <f aca="false">IF(Clients!A5="","",Clients!H5)</f>
        <v/>
      </c>
    </row>
    <row r="22" customFormat="false" ht="15" hidden="false" customHeight="false" outlineLevel="0" collapsed="false">
      <c r="B22" s="18" t="str">
        <f aca="false">IF(Clients!A6="","",Clients!A6)</f>
        <v/>
      </c>
      <c r="C22" s="18" t="str">
        <f aca="false">IF(Clients!A6="","",Clients!B6)</f>
        <v/>
      </c>
      <c r="D22" s="17" t="str">
        <f aca="false">IF(Clients!A6="","",Clients!K6)</f>
        <v/>
      </c>
      <c r="E22" s="16" t="str">
        <f aca="false">IF(Clients!A6="","",Clients!J6)</f>
        <v/>
      </c>
      <c r="F22" s="18" t="str">
        <f aca="false">IF(Clients!A6="","",Clients!H6)</f>
        <v/>
      </c>
    </row>
    <row r="23" customFormat="false" ht="15" hidden="false" customHeight="false" outlineLevel="0" collapsed="false">
      <c r="B23" s="18" t="str">
        <f aca="false">IF(Clients!A7="","",Clients!A7)</f>
        <v/>
      </c>
      <c r="C23" s="18" t="str">
        <f aca="false">IF(Clients!A7="","",Clients!B7)</f>
        <v/>
      </c>
      <c r="D23" s="17" t="str">
        <f aca="false">IF(Clients!A7="","",Clients!K7)</f>
        <v/>
      </c>
      <c r="E23" s="16" t="str">
        <f aca="false">IF(Clients!A7="","",Clients!J7)</f>
        <v/>
      </c>
      <c r="F23" s="18" t="str">
        <f aca="false">IF(Clients!A7="","",Clients!H7)</f>
        <v/>
      </c>
    </row>
    <row r="24" customFormat="false" ht="15" hidden="false" customHeight="false" outlineLevel="0" collapsed="false">
      <c r="B24" s="18" t="str">
        <f aca="false">IF(Clients!A8="","",Clients!A8)</f>
        <v/>
      </c>
      <c r="C24" s="18" t="str">
        <f aca="false">IF(Clients!A8="","",Clients!B8)</f>
        <v/>
      </c>
      <c r="D24" s="17" t="str">
        <f aca="false">IF(Clients!A8="","",Clients!K8)</f>
        <v/>
      </c>
      <c r="E24" s="16" t="str">
        <f aca="false">IF(Clients!A8="","",Clients!J8)</f>
        <v/>
      </c>
      <c r="F24" s="18" t="str">
        <f aca="false">IF(Clients!A8="","",Clients!H8)</f>
        <v/>
      </c>
    </row>
    <row r="25" customFormat="false" ht="15" hidden="false" customHeight="false" outlineLevel="0" collapsed="false">
      <c r="B25" s="18" t="str">
        <f aca="false">IF(Clients!A9="","",Clients!A9)</f>
        <v/>
      </c>
      <c r="C25" s="18" t="str">
        <f aca="false">IF(Clients!A9="","",Clients!B9)</f>
        <v/>
      </c>
      <c r="D25" s="17" t="str">
        <f aca="false">IF(Clients!A9="","",Clients!K9)</f>
        <v/>
      </c>
      <c r="E25" s="16" t="str">
        <f aca="false">IF(Clients!A9="","",Clients!J9)</f>
        <v/>
      </c>
      <c r="F25" s="18" t="str">
        <f aca="false">IF(Clients!A9="","",Clients!H9)</f>
        <v/>
      </c>
    </row>
    <row r="26" customFormat="false" ht="15" hidden="false" customHeight="false" outlineLevel="0" collapsed="false">
      <c r="B26" s="18" t="str">
        <f aca="false">IF(Clients!A10="","",Clients!A10)</f>
        <v/>
      </c>
      <c r="C26" s="18" t="str">
        <f aca="false">IF(Clients!A10="","",Clients!B10)</f>
        <v/>
      </c>
      <c r="D26" s="17" t="str">
        <f aca="false">IF(Clients!A10="","",Clients!K10)</f>
        <v/>
      </c>
      <c r="E26" s="16" t="str">
        <f aca="false">IF(Clients!A10="","",Clients!J10)</f>
        <v/>
      </c>
      <c r="F26" s="18" t="str">
        <f aca="false">IF(Clients!A10="","",Clients!H10)</f>
        <v/>
      </c>
    </row>
    <row r="27" customFormat="false" ht="15" hidden="false" customHeight="false" outlineLevel="0" collapsed="false">
      <c r="B27" s="18" t="str">
        <f aca="false">IF(Clients!A11="","",Clients!A11)</f>
        <v/>
      </c>
      <c r="C27" s="18" t="str">
        <f aca="false">IF(Clients!A11="","",Clients!B11)</f>
        <v/>
      </c>
      <c r="D27" s="17" t="str">
        <f aca="false">IF(Clients!A11="","",Clients!K11)</f>
        <v/>
      </c>
      <c r="E27" s="16" t="str">
        <f aca="false">IF(Clients!A11="","",Clients!J11)</f>
        <v/>
      </c>
      <c r="F27" s="18" t="str">
        <f aca="false">IF(Clients!A11="","",Clients!H11)</f>
        <v/>
      </c>
    </row>
    <row r="28" customFormat="false" ht="15" hidden="false" customHeight="false" outlineLevel="0" collapsed="false">
      <c r="B28" s="18" t="str">
        <f aca="false">IF(Clients!A12="","",Clients!A12)</f>
        <v/>
      </c>
      <c r="C28" s="18" t="str">
        <f aca="false">IF(Clients!A12="","",Clients!B12)</f>
        <v/>
      </c>
      <c r="D28" s="17" t="str">
        <f aca="false">IF(Clients!A12="","",Clients!K12)</f>
        <v/>
      </c>
      <c r="E28" s="16" t="str">
        <f aca="false">IF(Clients!A12="","",Clients!J12)</f>
        <v/>
      </c>
      <c r="F28" s="18" t="str">
        <f aca="false">IF(Clients!A12="","",Clients!H12)</f>
        <v/>
      </c>
    </row>
    <row r="29" customFormat="false" ht="15" hidden="false" customHeight="false" outlineLevel="0" collapsed="false">
      <c r="B29" s="18" t="str">
        <f aca="false">IF(Clients!A13="","",Clients!A13)</f>
        <v/>
      </c>
      <c r="C29" s="18" t="str">
        <f aca="false">IF(Clients!A13="","",Clients!B13)</f>
        <v/>
      </c>
      <c r="D29" s="17" t="str">
        <f aca="false">IF(Clients!A13="","",Clients!K13)</f>
        <v/>
      </c>
      <c r="E29" s="16" t="str">
        <f aca="false">IF(Clients!A13="","",Clients!J13)</f>
        <v/>
      </c>
      <c r="F29" s="18" t="str">
        <f aca="false">IF(Clients!A13="","",Clients!H13)</f>
        <v/>
      </c>
    </row>
    <row r="30" customFormat="false" ht="15" hidden="false" customHeight="false" outlineLevel="0" collapsed="false">
      <c r="B30" s="18" t="str">
        <f aca="false">IF(Clients!A14="","",Clients!A14)</f>
        <v/>
      </c>
      <c r="C30" s="18" t="str">
        <f aca="false">IF(Clients!A14="","",Clients!B14)</f>
        <v/>
      </c>
      <c r="D30" s="17" t="str">
        <f aca="false">IF(Clients!A14="","",Clients!K14)</f>
        <v/>
      </c>
      <c r="E30" s="16" t="str">
        <f aca="false">IF(Clients!A14="","",Clients!J14)</f>
        <v/>
      </c>
      <c r="F30" s="18" t="str">
        <f aca="false">IF(Clients!A14="","",Clients!H14)</f>
        <v/>
      </c>
    </row>
    <row r="31" customFormat="false" ht="15" hidden="false" customHeight="false" outlineLevel="0" collapsed="false">
      <c r="B31" s="18" t="str">
        <f aca="false">IF(Clients!A15="","",Clients!A15)</f>
        <v/>
      </c>
      <c r="C31" s="18" t="str">
        <f aca="false">IF(Clients!A15="","",Clients!B15)</f>
        <v/>
      </c>
      <c r="D31" s="17" t="str">
        <f aca="false">IF(Clients!A15="","",Clients!K15)</f>
        <v/>
      </c>
      <c r="E31" s="16" t="str">
        <f aca="false">IF(Clients!A15="","",Clients!J15)</f>
        <v/>
      </c>
      <c r="F31" s="18" t="str">
        <f aca="false">IF(Clients!A15="","",Clients!H15)</f>
        <v/>
      </c>
    </row>
    <row r="32" customFormat="false" ht="15" hidden="false" customHeight="false" outlineLevel="0" collapsed="false">
      <c r="B32" s="18" t="str">
        <f aca="false">IF(Clients!A16="","",Clients!A16)</f>
        <v/>
      </c>
      <c r="C32" s="18" t="str">
        <f aca="false">IF(Clients!A16="","",Clients!B16)</f>
        <v/>
      </c>
      <c r="D32" s="17" t="str">
        <f aca="false">IF(Clients!A16="","",Clients!K16)</f>
        <v/>
      </c>
      <c r="E32" s="16" t="str">
        <f aca="false">IF(Clients!A16="","",Clients!J16)</f>
        <v/>
      </c>
      <c r="F32" s="18" t="str">
        <f aca="false">IF(Clients!A16="","",Clients!H16)</f>
        <v/>
      </c>
    </row>
    <row r="33" customFormat="false" ht="15" hidden="false" customHeight="false" outlineLevel="0" collapsed="false">
      <c r="B33" s="18" t="str">
        <f aca="false">IF(Clients!A17="","",Clients!A17)</f>
        <v/>
      </c>
      <c r="C33" s="18" t="str">
        <f aca="false">IF(Clients!A17="","",Clients!B17)</f>
        <v/>
      </c>
      <c r="D33" s="17" t="str">
        <f aca="false">IF(Clients!A17="","",Clients!K17)</f>
        <v/>
      </c>
      <c r="E33" s="16" t="str">
        <f aca="false">IF(Clients!A17="","",Clients!J17)</f>
        <v/>
      </c>
      <c r="F33" s="18" t="str">
        <f aca="false">IF(Clients!A17="","",Clients!H17)</f>
        <v/>
      </c>
    </row>
    <row r="34" customFormat="false" ht="15" hidden="false" customHeight="false" outlineLevel="0" collapsed="false">
      <c r="B34" s="18" t="str">
        <f aca="false">IF(Clients!A18="","",Clients!A18)</f>
        <v/>
      </c>
      <c r="C34" s="18" t="str">
        <f aca="false">IF(Clients!A18="","",Clients!B18)</f>
        <v/>
      </c>
      <c r="D34" s="17" t="str">
        <f aca="false">IF(Clients!A18="","",Clients!K18)</f>
        <v/>
      </c>
      <c r="E34" s="16" t="str">
        <f aca="false">IF(Clients!A18="","",Clients!J18)</f>
        <v/>
      </c>
      <c r="F34" s="18" t="str">
        <f aca="false">IF(Clients!A18="","",Clients!H18)</f>
        <v/>
      </c>
    </row>
    <row r="35" customFormat="false" ht="15" hidden="false" customHeight="false" outlineLevel="0" collapsed="false">
      <c r="B35" s="18" t="str">
        <f aca="false">IF(Clients!A19="","",Clients!A19)</f>
        <v/>
      </c>
      <c r="C35" s="18" t="str">
        <f aca="false">IF(Clients!A19="","",Clients!B19)</f>
        <v/>
      </c>
      <c r="D35" s="17" t="str">
        <f aca="false">IF(Clients!A19="","",Clients!K19)</f>
        <v/>
      </c>
      <c r="E35" s="16" t="str">
        <f aca="false">IF(Clients!A19="","",Clients!J19)</f>
        <v/>
      </c>
      <c r="F35" s="18" t="str">
        <f aca="false">IF(Clients!A19="","",Clients!H19)</f>
        <v/>
      </c>
    </row>
    <row r="36" customFormat="false" ht="15" hidden="false" customHeight="false" outlineLevel="0" collapsed="false">
      <c r="B36" s="18" t="str">
        <f aca="false">IF(Clients!A20="","",Clients!A20)</f>
        <v/>
      </c>
      <c r="C36" s="18" t="str">
        <f aca="false">IF(Clients!A20="","",Clients!B20)</f>
        <v/>
      </c>
      <c r="D36" s="17" t="str">
        <f aca="false">IF(Clients!A20="","",Clients!K20)</f>
        <v/>
      </c>
      <c r="E36" s="16" t="str">
        <f aca="false">IF(Clients!A20="","",Clients!J20)</f>
        <v/>
      </c>
      <c r="F36" s="18" t="str">
        <f aca="false">IF(Clients!A20="","",Clients!H20)</f>
        <v/>
      </c>
    </row>
    <row r="37" customFormat="false" ht="15" hidden="false" customHeight="false" outlineLevel="0" collapsed="false">
      <c r="B37" s="18" t="str">
        <f aca="false">IF(Clients!A21="","",Clients!A21)</f>
        <v/>
      </c>
      <c r="C37" s="18" t="str">
        <f aca="false">IF(Clients!A21="","",Clients!B21)</f>
        <v/>
      </c>
      <c r="D37" s="17" t="str">
        <f aca="false">IF(Clients!A21="","",Clients!K21)</f>
        <v/>
      </c>
      <c r="E37" s="16" t="str">
        <f aca="false">IF(Clients!A21="","",Clients!J21)</f>
        <v/>
      </c>
      <c r="F37" s="18" t="str">
        <f aca="false">IF(Clients!A21="","",Clients!H21)</f>
        <v/>
      </c>
    </row>
    <row r="38" customFormat="false" ht="15" hidden="false" customHeight="false" outlineLevel="0" collapsed="false">
      <c r="B38" s="18" t="str">
        <f aca="false">IF(Clients!A22="","",Clients!A22)</f>
        <v/>
      </c>
      <c r="C38" s="18" t="str">
        <f aca="false">IF(Clients!A22="","",Clients!B22)</f>
        <v/>
      </c>
      <c r="D38" s="17" t="str">
        <f aca="false">IF(Clients!A22="","",Clients!K22)</f>
        <v/>
      </c>
      <c r="E38" s="16" t="str">
        <f aca="false">IF(Clients!A22="","",Clients!J22)</f>
        <v/>
      </c>
      <c r="F38" s="18" t="str">
        <f aca="false">IF(Clients!A22="","",Clients!H22)</f>
        <v/>
      </c>
    </row>
    <row r="40" customFormat="false" ht="15" hidden="false" customHeight="false" outlineLevel="0" collapsed="false">
      <c r="B40" s="1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2026-07-21T08:17:45Z</dcterms:created>
  <dc:creator>openpyxl</dc:creator>
  <dc:description/>
  <dc:language>en-US</dc:language>
  <cp:lastModifiedBy/>
  <dcterms:modified xsi:type="dcterms:W3CDTF">2026-07-21T08:17:45Z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